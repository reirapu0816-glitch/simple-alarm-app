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フェーズ設計" sheetId="2" state="visible" r:id="rId2"/>
    <sheet name="課題一覧" sheetId="3" state="visible" r:id="rId3"/>
    <sheet name="アクションプラン" sheetId="4" state="visible" r:id="rId4"/>
    <sheet name="KPI定義" sheetId="5" state="visible" r:id="rId5"/>
  </sheets>
  <definedNames>
    <definedName name="_xlnm._FilterDatabase" localSheetId="2" hidden="1">'課題一覧'!$A$5:$K$36</definedName>
    <definedName name="_xlnm._FilterDatabase" localSheetId="3" hidden="1">'アクションプラン'!$A$5:$N$26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color rgb="00000000"/>
      <sz val="10"/>
    </font>
    <font>
      <name val="Arial"/>
      <i val="1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FF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2E5C8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164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center" vertical="top"/>
    </xf>
    <xf numFmtId="165" fontId="6" fillId="0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center" vertical="top"/>
    </xf>
    <xf numFmtId="165" fontId="2" fillId="6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 vertical="top" wrapText="1"/>
    </xf>
    <xf numFmtId="164" fontId="3" fillId="4" borderId="1" applyAlignment="1" pivotButton="0" quotePrefix="0" xfId="0">
      <alignment horizontal="center" vertical="top"/>
    </xf>
    <xf numFmtId="164" fontId="5" fillId="7" borderId="1" applyAlignment="1" pivotButton="0" quotePrefix="0" xfId="0">
      <alignment horizontal="center" vertical="top" wrapText="1"/>
    </xf>
    <xf numFmtId="164" fontId="5" fillId="6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164" fontId="3" fillId="4" borderId="1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center" vertical="top"/>
    </xf>
    <xf numFmtId="165" fontId="2" fillId="6" borderId="1" applyAlignment="1" pivotButton="0" quotePrefix="0" xfId="0">
      <alignment horizontal="center" vertical="top"/>
    </xf>
    <xf numFmtId="164" fontId="3" fillId="4" borderId="1" applyAlignment="1" pivotButton="0" quotePrefix="0" xfId="0">
      <alignment horizontal="center" vertical="top"/>
    </xf>
    <xf numFmtId="164" fontId="5" fillId="7" borderId="1" applyAlignment="1" pivotButton="0" quotePrefix="0" xfId="0">
      <alignment horizontal="center" vertical="top" wrapText="1"/>
    </xf>
    <xf numFmtId="164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3" customWidth="1" min="4" max="4"/>
    <col width="16" customWidth="1" min="5" max="5"/>
    <col width="10" customWidth="1" min="6" max="6"/>
  </cols>
  <sheetData>
    <row r="1" ht="30" customHeight="1">
      <c r="A1" s="1" t="inlineStr">
        <is>
          <t>グルコン改善 アクションプラン｜概要</t>
        </is>
      </c>
      <c r="B1" s="34" t="n"/>
      <c r="C1" s="34" t="n"/>
      <c r="D1" s="34" t="n"/>
      <c r="E1" s="34" t="n"/>
      <c r="F1" s="35" t="n"/>
    </row>
    <row r="2"/>
    <row r="3" ht="20" customHeight="1">
      <c r="A3" s="2" t="inlineStr">
        <is>
          <t>目標</t>
        </is>
      </c>
      <c r="B3" s="3" t="inlineStr">
        <is>
          <t>受講生がグルコンに入ることでマインドが変わり、6ヶ月間で金額成果につながる状態をつくる</t>
        </is>
      </c>
      <c r="C3" s="34" t="n"/>
      <c r="D3" s="34" t="n"/>
      <c r="E3" s="34" t="n"/>
      <c r="F3" s="35" t="n"/>
    </row>
    <row r="4" ht="20" customHeight="1">
      <c r="A4" s="2" t="inlineStr">
        <is>
          <t>最終指標</t>
        </is>
      </c>
      <c r="B4" s="3" t="inlineStr">
        <is>
          <t>6ヶ月累計成果額 ／ 3ヶ月以内 初受注率</t>
        </is>
      </c>
      <c r="C4" s="34" t="n"/>
      <c r="D4" s="34" t="n"/>
      <c r="E4" s="34" t="n"/>
      <c r="F4" s="35" t="n"/>
    </row>
    <row r="5" ht="20" customHeight="1">
      <c r="A5" s="2" t="inlineStr">
        <is>
          <t>主KPI（早さ）</t>
        </is>
      </c>
      <c r="B5" s="3" t="inlineStr">
        <is>
          <t>初提案までの日数 ／ 初受注までの日数</t>
        </is>
      </c>
      <c r="C5" s="34" t="n"/>
      <c r="D5" s="34" t="n"/>
      <c r="E5" s="34" t="n"/>
      <c r="F5" s="35" t="n"/>
    </row>
    <row r="6" ht="20" customHeight="1">
      <c r="A6" s="2" t="inlineStr">
        <is>
          <t>対象期間</t>
        </is>
      </c>
      <c r="B6" s="3" t="inlineStr">
        <is>
          <t>6ヶ月（STEP1〜STEP6）</t>
        </is>
      </c>
      <c r="C6" s="34" t="n"/>
      <c r="D6" s="34" t="n"/>
      <c r="E6" s="34" t="n"/>
      <c r="F6" s="35" t="n"/>
    </row>
    <row r="7" ht="20" customHeight="1">
      <c r="A7" s="2" t="inlineStr">
        <is>
          <t>作成日</t>
        </is>
      </c>
      <c r="B7" s="36" t="n">
        <v>46255</v>
      </c>
      <c r="C7" s="34" t="n"/>
      <c r="D7" s="34" t="n"/>
      <c r="E7" s="34" t="n"/>
      <c r="F7" s="35" t="n"/>
    </row>
    <row r="8"/>
    <row r="9">
      <c r="A9" s="5" t="inlineStr">
        <is>
          <t>使い方 ／ 凡例</t>
        </is>
      </c>
      <c r="B9" s="34" t="n"/>
      <c r="C9" s="34" t="n"/>
      <c r="D9" s="34" t="n"/>
      <c r="E9" s="34" t="n"/>
      <c r="F9" s="35" t="n"/>
    </row>
    <row r="10" ht="26" customHeight="1">
      <c r="A10" s="6" t="inlineStr">
        <is>
          <t>① 「フェーズ設計」…… 6ヶ月の各STEPでグルコンが果たすべき役割・ゴール・マインドの転換点を定義したもの。課題出しの前提として先に合意する。</t>
        </is>
      </c>
      <c r="B10" s="34" t="n"/>
      <c r="C10" s="34" t="n"/>
      <c r="D10" s="34" t="n"/>
      <c r="E10" s="34" t="n"/>
      <c r="F10" s="35" t="n"/>
    </row>
    <row r="11" ht="26" customHeight="1">
      <c r="A11" s="6" t="inlineStr">
        <is>
          <t>② 「課題一覧」…… たたき台として31件を記載。提案者・課題・原因・影響を埋め、影響度／変えやすさを3・2・1で採点すると優先度が自動計算される。</t>
        </is>
      </c>
      <c r="B11" s="34" t="n"/>
      <c r="C11" s="34" t="n"/>
      <c r="D11" s="34" t="n"/>
      <c r="E11" s="34" t="n"/>
      <c r="F11" s="35" t="n"/>
    </row>
    <row r="12" ht="26" customHeight="1">
      <c r="A12" s="6" t="inlineStr">
        <is>
          <t>③ 「アクションプラン」…… 課題一覧のうち優先度が高いものを、いつ・誰が・何を・どのように の形に落としたもの。B3の着手日を変えると期限が自動再計算される。</t>
        </is>
      </c>
      <c r="B12" s="34" t="n"/>
      <c r="C12" s="34" t="n"/>
      <c r="D12" s="34" t="n"/>
      <c r="E12" s="34" t="n"/>
      <c r="F12" s="35" t="n"/>
    </row>
    <row r="13" ht="26" customHeight="1">
      <c r="A13" s="6" t="inlineStr">
        <is>
          <t>④ 「KPI定義」…… 課題や成果を数値で語るための指標定義。「取れていない指標」自体が課題として立つ。</t>
        </is>
      </c>
      <c r="B13" s="34" t="n"/>
      <c r="C13" s="34" t="n"/>
      <c r="D13" s="34" t="n"/>
      <c r="E13" s="34" t="n"/>
      <c r="F13" s="35" t="n"/>
    </row>
    <row r="14" ht="26" customHeight="1">
      <c r="A14" s="6" t="inlineStr">
        <is>
          <t>★ 黄色セル＝記入・編集する箇所。白セル＝記入欄。数式セルは触らない。</t>
        </is>
      </c>
      <c r="B14" s="34" t="n"/>
      <c r="C14" s="34" t="n"/>
      <c r="D14" s="34" t="n"/>
      <c r="E14" s="34" t="n"/>
      <c r="F14" s="35" t="n"/>
    </row>
    <row r="15"/>
    <row r="16">
      <c r="A16" s="5" t="inlineStr">
        <is>
          <t>軸別 課題件数（自動集計）</t>
        </is>
      </c>
      <c r="B16" s="34" t="n"/>
      <c r="C16" s="35" t="n"/>
      <c r="E16" s="5" t="inlineStr">
        <is>
          <t>優先度別 件数（自動集計）</t>
        </is>
      </c>
      <c r="F16" s="35" t="n"/>
    </row>
    <row r="17">
      <c r="A17" s="7" t="inlineStr">
        <is>
          <t>軸</t>
        </is>
      </c>
      <c r="B17" s="7" t="inlineStr">
        <is>
          <t>件数</t>
        </is>
      </c>
      <c r="C17" s="7" t="inlineStr">
        <is>
          <t>構成比</t>
        </is>
      </c>
      <c r="E17" s="7" t="inlineStr">
        <is>
          <t>優先度</t>
        </is>
      </c>
      <c r="F17" s="7" t="inlineStr">
        <is>
          <t>件数</t>
        </is>
      </c>
    </row>
    <row r="18">
      <c r="A18" s="8" t="inlineStr">
        <is>
          <t>①内容（グルコン設計）</t>
        </is>
      </c>
      <c r="B18" s="9">
        <f>COUNTIF(課題一覧!$C$6:$C$100,$A18)</f>
        <v/>
      </c>
      <c r="C18" s="37">
        <f>IF($B$25=0,"",B18/$B$25)</f>
        <v/>
      </c>
      <c r="E18" s="8" t="inlineStr">
        <is>
          <t>A（最優先）</t>
        </is>
      </c>
      <c r="F18" s="9">
        <f>COUNTIF(課題一覧!$K$6:$K$100,"A")</f>
        <v/>
      </c>
    </row>
    <row r="19">
      <c r="A19" s="8" t="inlineStr">
        <is>
          <t>②講師</t>
        </is>
      </c>
      <c r="B19" s="9">
        <f>COUNTIF(課題一覧!$C$6:$C$100,$A19)</f>
        <v/>
      </c>
      <c r="C19" s="37">
        <f>IF($B$25=0,"",B19/$B$25)</f>
        <v/>
      </c>
      <c r="E19" s="8" t="inlineStr">
        <is>
          <t>B（次点）</t>
        </is>
      </c>
      <c r="F19" s="9">
        <f>COUNTIF(課題一覧!$K$6:$K$100,"B")</f>
        <v/>
      </c>
    </row>
    <row r="20">
      <c r="A20" s="8" t="inlineStr">
        <is>
          <t>③受講生</t>
        </is>
      </c>
      <c r="B20" s="9">
        <f>COUNTIF(課題一覧!$C$6:$C$100,$A20)</f>
        <v/>
      </c>
      <c r="C20" s="37">
        <f>IF($B$25=0,"",B20/$B$25)</f>
        <v/>
      </c>
      <c r="E20" s="8" t="inlineStr">
        <is>
          <t>C（後回し）</t>
        </is>
      </c>
      <c r="F20" s="9">
        <f>COUNTIF(課題一覧!$K$6:$K$100,"C")</f>
        <v/>
      </c>
    </row>
    <row r="21">
      <c r="A21" s="8" t="inlineStr">
        <is>
          <t>④CSメンター</t>
        </is>
      </c>
      <c r="B21" s="9">
        <f>COUNTIF(課題一覧!$C$6:$C$100,$A21)</f>
        <v/>
      </c>
      <c r="C21" s="37">
        <f>IF($B$25=0,"",B21/$B$25)</f>
        <v/>
      </c>
    </row>
    <row r="22">
      <c r="A22" s="8" t="inlineStr">
        <is>
          <t>⑤運営・仕組み</t>
        </is>
      </c>
      <c r="B22" s="9">
        <f>COUNTIF(課題一覧!$C$6:$C$100,$A22)</f>
        <v/>
      </c>
      <c r="C22" s="37">
        <f>IF($B$25=0,"",B22/$B$25)</f>
        <v/>
      </c>
    </row>
    <row r="23">
      <c r="A23" s="8" t="inlineStr">
        <is>
          <t>⑥環境・コミュニティ</t>
        </is>
      </c>
      <c r="B23" s="9">
        <f>COUNTIF(課題一覧!$C$6:$C$100,$A23)</f>
        <v/>
      </c>
      <c r="C23" s="37">
        <f>IF($B$25=0,"",B23/$B$25)</f>
        <v/>
      </c>
    </row>
    <row r="24">
      <c r="A24" s="8" t="inlineStr">
        <is>
          <t>⑦データ・KPI</t>
        </is>
      </c>
      <c r="B24" s="9">
        <f>COUNTIF(課題一覧!$C$6:$C$100,$A24)</f>
        <v/>
      </c>
      <c r="C24" s="37">
        <f>IF($B$25=0,"",B24/$B$25)</f>
        <v/>
      </c>
    </row>
    <row r="25">
      <c r="A25" s="11" t="inlineStr">
        <is>
          <t>合計</t>
        </is>
      </c>
      <c r="B25" s="12">
        <f>SUM(B18:B24)</f>
        <v/>
      </c>
      <c r="C25" s="38">
        <f>IF(B25=0,"",1)</f>
        <v/>
      </c>
    </row>
  </sheetData>
  <mergeCells count="14">
    <mergeCell ref="B4:F4"/>
    <mergeCell ref="A11:F11"/>
    <mergeCell ref="B7:F7"/>
    <mergeCell ref="A10:F10"/>
    <mergeCell ref="B6:F6"/>
    <mergeCell ref="E16:F16"/>
    <mergeCell ref="A13:F13"/>
    <mergeCell ref="A14:F14"/>
    <mergeCell ref="A1:F1"/>
    <mergeCell ref="B3:F3"/>
    <mergeCell ref="B5:F5"/>
    <mergeCell ref="A9:F9"/>
    <mergeCell ref="A12:F12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30" customWidth="1" min="4" max="4"/>
    <col width="30" customWidth="1" min="5" max="5"/>
    <col width="32" customWidth="1" min="6" max="6"/>
    <col width="26" customWidth="1" min="7" max="7"/>
    <col width="26" customWidth="1" min="8" max="8"/>
    <col width="24" customWidth="1" min="9" max="9"/>
  </cols>
  <sheetData>
    <row r="1" ht="30" customHeight="1">
      <c r="A1" s="1" t="inlineStr">
        <is>
          <t>6ヶ月 × グルコンの役割設計</t>
        </is>
      </c>
      <c r="B1" s="34" t="n"/>
      <c r="C1" s="34" t="n"/>
      <c r="D1" s="34" t="n"/>
      <c r="E1" s="34" t="n"/>
      <c r="F1" s="34" t="n"/>
      <c r="G1" s="34" t="n"/>
      <c r="H1" s="34" t="n"/>
      <c r="I1" s="35" t="n"/>
    </row>
    <row r="2" ht="20" customHeight="1">
      <c r="A2" s="14" t="inlineStr">
        <is>
          <t>※ カリキュラムのSTEPに対し、グルコンが各時期に何をする場なのかを定義したもの。ここが決まらないと「毎回とりあえず質疑応答」になる。</t>
        </is>
      </c>
      <c r="B2" s="34" t="n"/>
      <c r="C2" s="34" t="n"/>
      <c r="D2" s="34" t="n"/>
      <c r="E2" s="34" t="n"/>
      <c r="F2" s="34" t="n"/>
      <c r="G2" s="34" t="n"/>
      <c r="H2" s="34" t="n"/>
      <c r="I2" s="35" t="n"/>
    </row>
    <row r="3" ht="34" customHeight="1">
      <c r="A3" s="15" t="inlineStr">
        <is>
          <t>STEP</t>
        </is>
      </c>
      <c r="B3" s="15" t="inlineStr">
        <is>
          <t>時期</t>
        </is>
      </c>
      <c r="C3" s="15" t="inlineStr">
        <is>
          <t>カリキュラム上の位置づけ</t>
        </is>
      </c>
      <c r="D3" s="15" t="inlineStr">
        <is>
          <t>この時期の受講生ゴール</t>
        </is>
      </c>
      <c r="E3" s="15" t="inlineStr">
        <is>
          <t>グルコンの役割</t>
        </is>
      </c>
      <c r="F3" s="15" t="inlineStr">
        <is>
          <t>グルコン テーマ例</t>
        </is>
      </c>
      <c r="G3" s="15" t="inlineStr">
        <is>
          <t>マインドの転換点</t>
        </is>
      </c>
      <c r="H3" s="15" t="inlineStr">
        <is>
          <t>先行指標（行動）</t>
        </is>
      </c>
      <c r="I3" s="15" t="inlineStr">
        <is>
          <t>成果指標（金額）</t>
        </is>
      </c>
    </row>
    <row r="4" ht="88" customHeight="1">
      <c r="A4" s="16" t="inlineStr">
        <is>
          <t>STEP1</t>
        </is>
      </c>
      <c r="B4" s="17" t="inlineStr">
        <is>
          <t>1ヶ月目</t>
        </is>
      </c>
      <c r="C4" s="18" t="inlineStr">
        <is>
          <t>土台構築期／SNSデザイン基礎スキル獲得</t>
        </is>
      </c>
      <c r="D4" s="18" t="inlineStr">
        <is>
          <t>・デザイン課題を止めずに提出し切る
・ポートフォリオの種を3点つくる
・営業アカウントの器（CW／Wantedly）を用意する</t>
        </is>
      </c>
      <c r="E4" s="18" t="inlineStr">
        <is>
          <t>手を止めさせない場。作品を晒し、詰まっている原因をその場で除去する。</t>
        </is>
      </c>
      <c r="F4" s="18" t="inlineStr">
        <is>
          <t>・トレース／バナー添削会
・「提出できていない人」の詰まり解消回
・完成の基準（何点で出すか）合わせ
・先輩受講生の1ヶ月目の実物公開</t>
        </is>
      </c>
      <c r="G4" s="18" t="inlineStr">
        <is>
          <t>完璧主義を壊す
「60点で出す」を当たり前にする</t>
        </is>
      </c>
      <c r="H4" s="18" t="inlineStr">
        <is>
          <t>課題提出率／提出までの日数
グルコン参加率</t>
        </is>
      </c>
      <c r="I4" s="18" t="inlineStr">
        <is>
          <t>―（金額成果は発生しない期間）</t>
        </is>
      </c>
    </row>
    <row r="5" ht="88" customHeight="1">
      <c r="A5" s="19" t="inlineStr">
        <is>
          <t>STEP2</t>
        </is>
      </c>
      <c r="B5" s="20" t="inlineStr">
        <is>
          <t>2ヶ月目</t>
        </is>
      </c>
      <c r="C5" s="21" t="inlineStr">
        <is>
          <t>営業準備・開始期／営業基礎スキル獲得</t>
        </is>
      </c>
      <c r="D5" s="21" t="inlineStr">
        <is>
          <t>・プロフィール、ポートフォリオを完成
・提案文テンプレートを作成
・月内に初提案を送る</t>
        </is>
      </c>
      <c r="E5" s="21" t="inlineStr">
        <is>
          <t>営業物をその場で完成させる作業会＋添削会。解散までに「送った」状態をつくる。</t>
        </is>
      </c>
      <c r="F5" s="21" t="inlineStr">
        <is>
          <t>・プロフィール添削会
・提案文その場添削→送信まで完了
・案件の選び方／地雷案件の見分け方
・メンターによる提案の実演</t>
        </is>
      </c>
      <c r="G5" s="21" t="inlineStr">
        <is>
          <t>営業への恐怖を壊す
「返信が来ないのが普通」</t>
        </is>
      </c>
      <c r="H5" s="21" t="inlineStr">
        <is>
          <t>初提案までの日数／週あたり提案数
プロフィール完成率</t>
        </is>
      </c>
      <c r="I5" s="21" t="inlineStr">
        <is>
          <t>初提案送信者率</t>
        </is>
      </c>
    </row>
    <row r="6" ht="88" customHeight="1">
      <c r="A6" s="16" t="inlineStr">
        <is>
          <t>STEP3</t>
        </is>
      </c>
      <c r="B6" s="17" t="inlineStr">
        <is>
          <t>3ヶ月目</t>
        </is>
      </c>
      <c r="C6" s="18" t="inlineStr">
        <is>
          <t>実践期①／0→1案件獲得</t>
        </is>
      </c>
      <c r="D6" s="18" t="inlineStr">
        <is>
          <t>・初受注、初入金
・提案を週◯件のペースで継続</t>
        </is>
      </c>
      <c r="E6" s="18" t="inlineStr">
        <is>
          <t>提案数と結果を全員が開示し合う場。落ちた提案を解剖して次に回す。</t>
        </is>
      </c>
      <c r="F6" s="18" t="inlineStr">
        <is>
          <t>・提案数・返信数の数値開示回
・不採用提案の解剖会
・受注した人の再現インタビュー
・見積り／条件交渉の型</t>
        </is>
      </c>
      <c r="G6" s="18" t="inlineStr">
        <is>
          <t>数を打つのが正常
「断られることが仕事」</t>
        </is>
      </c>
      <c r="H6" s="18" t="inlineStr">
        <is>
          <t>累計提案数／返信率／面談化率</t>
        </is>
      </c>
      <c r="I6" s="18" t="inlineStr">
        <is>
          <t>初受注率／初入金額
初受注までの日数</t>
        </is>
      </c>
    </row>
    <row r="7" ht="88" customHeight="1">
      <c r="A7" s="19" t="inlineStr">
        <is>
          <t>STEP4</t>
        </is>
      </c>
      <c r="B7" s="20" t="inlineStr">
        <is>
          <t>4ヶ月目</t>
        </is>
      </c>
      <c r="C7" s="21" t="inlineStr">
        <is>
          <t>実践期②／複数案件獲得</t>
        </is>
      </c>
      <c r="D7" s="21" t="inlineStr">
        <is>
          <t>・同時2件以上を回す
・月◯万円を安定させる</t>
        </is>
      </c>
      <c r="E7" s="21" t="inlineStr">
        <is>
          <t>納品品質・スケジュール・トラブル対応を共有し、受注後で折れさせない場。</t>
        </is>
      </c>
      <c r="F7" s="21" t="inlineStr">
        <is>
          <t>・複数案件の回し方／稼働管理
・修正対応、クライアントとのやり取り
・納品トラブル事例の共有</t>
        </is>
      </c>
      <c r="G7" s="21" t="inlineStr">
        <is>
          <t>「受注できる人」の基準に
自分を合わせにいく</t>
        </is>
      </c>
      <c r="H7" s="21" t="inlineStr">
        <is>
          <t>継続提案数／稼働時間／納期遵守率</t>
        </is>
      </c>
      <c r="I7" s="21" t="inlineStr">
        <is>
          <t>月次売上／同時案件数／継続率</t>
        </is>
      </c>
    </row>
    <row r="8" ht="88" customHeight="1">
      <c r="A8" s="16" t="inlineStr">
        <is>
          <t>STEP5</t>
        </is>
      </c>
      <c r="B8" s="17" t="inlineStr">
        <is>
          <t>5ヶ月目</t>
        </is>
      </c>
      <c r="C8" s="18" t="inlineStr">
        <is>
          <t>ブースト期・自走準備期／受注単価UP</t>
        </is>
      </c>
      <c r="D8" s="18" t="inlineStr">
        <is>
          <t>・単価を上げる
・継続案件／企業案件を獲る</t>
        </is>
      </c>
      <c r="E8" s="18" t="inlineStr">
        <is>
          <t>値上げ・企業案件への挑戦を後押しする場。実例で背中を押す。</t>
        </is>
      </c>
      <c r="F8" s="18" t="inlineStr">
        <is>
          <t>・単価交渉の実例と台本
・企業案件への提案の作り方
・実績の見せ方／ポートフォリオ更新</t>
        </is>
      </c>
      <c r="G8" s="18" t="inlineStr">
        <is>
          <t>値上げの恐怖を壊す
「今の単価は自分が決めている」</t>
        </is>
      </c>
      <c r="H8" s="18" t="inlineStr">
        <is>
          <t>単価交渉の実施数／企業案件応募数</t>
        </is>
      </c>
      <c r="I8" s="18" t="inlineStr">
        <is>
          <t>平均単価／月次売上</t>
        </is>
      </c>
    </row>
    <row r="9" ht="88" customHeight="1">
      <c r="A9" s="19" t="inlineStr">
        <is>
          <t>STEP6</t>
        </is>
      </c>
      <c r="B9" s="20" t="inlineStr">
        <is>
          <t>6ヶ月〜</t>
        </is>
      </c>
      <c r="C9" s="21" t="inlineStr">
        <is>
          <t>自走期／卒業後も永続参加</t>
        </is>
      </c>
      <c r="D9" s="21" t="inlineStr">
        <is>
          <t>・自走して受注を継続する
・後輩のロールモデルになる</t>
        </is>
      </c>
      <c r="E9" s="21" t="inlineStr">
        <is>
          <t>事例を還元する場。教える側に回ることで本人の基準がさらに上がる。</t>
        </is>
      </c>
      <c r="F9" s="21" t="inlineStr">
        <is>
          <t>・成果報告会での登壇
・後輩へのアドバイス回
・事業化／法人化の相談</t>
        </is>
      </c>
      <c r="G9" s="21" t="inlineStr">
        <is>
          <t>教える側に回る
「自分が場をつくる側」</t>
        </is>
      </c>
      <c r="H9" s="21" t="inlineStr">
        <is>
          <t>卒業後のグルコン参加率／登壇回数</t>
        </is>
      </c>
      <c r="I9" s="21" t="inlineStr">
        <is>
          <t>卒業後6ヶ月の継続受注率</t>
        </is>
      </c>
    </row>
    <row r="11">
      <c r="A11" s="22" t="inlineStr">
        <is>
          <t>最大の論点：初成果の前倒し</t>
        </is>
      </c>
      <c r="B11" s="34" t="n"/>
      <c r="C11" s="34" t="n"/>
      <c r="D11" s="34" t="n"/>
      <c r="E11" s="34" t="n"/>
      <c r="F11" s="34" t="n"/>
      <c r="G11" s="34" t="n"/>
      <c r="H11" s="34" t="n"/>
      <c r="I11" s="35" t="n"/>
    </row>
    <row r="12" ht="30" customHeight="1">
      <c r="A12" s="23" t="inlineStr">
        <is>
          <t>・現行設計では、1ヶ月目がデザイン、2ヶ月目に営業準備で、案件応募の開始は2ヶ月目後半〜3ヶ月目。つまり最初の2ヶ月は金額成果がゼロの期間になる。</t>
        </is>
      </c>
      <c r="B12" s="34" t="n"/>
      <c r="C12" s="34" t="n"/>
      <c r="D12" s="34" t="n"/>
      <c r="E12" s="34" t="n"/>
      <c r="F12" s="34" t="n"/>
      <c r="G12" s="34" t="n"/>
      <c r="H12" s="34" t="n"/>
      <c r="I12" s="35" t="n"/>
    </row>
    <row r="13" ht="30" customHeight="1">
      <c r="A13" s="23" t="inlineStr">
        <is>
          <t>・「2〜3ヶ月目から成果を出す」を実現するなら、営業活動の開始そのものを前倒しできるかが最大のレバーになる。具体的には、STEP1の期間中にアカウント開設・プロフィール下書き・ポートフォリオ3点までを終わらせ、STEP2の第1週に初提案を送る設計にできないか。</t>
        </is>
      </c>
      <c r="B13" s="34" t="n"/>
      <c r="C13" s="34" t="n"/>
      <c r="D13" s="34" t="n"/>
      <c r="E13" s="34" t="n"/>
      <c r="F13" s="34" t="n"/>
      <c r="G13" s="34" t="n"/>
      <c r="H13" s="34" t="n"/>
      <c r="I13" s="35" t="n"/>
    </row>
    <row r="14" ht="30" customHeight="1">
      <c r="A14" s="23" t="inlineStr">
        <is>
          <t>・初成果（初受注）はマインド変容の最大のトリガーでもある。「自分にもできた」の1回目が来た受講生は、その後の行動量・継続率・最終成果額が明確に変わる。マインド→成果ではなく、小さな成果→マインド→大きな成果の順で設計するほうが再現性が高い。</t>
        </is>
      </c>
      <c r="B14" s="34" t="n"/>
      <c r="C14" s="34" t="n"/>
      <c r="D14" s="34" t="n"/>
      <c r="E14" s="34" t="n"/>
      <c r="F14" s="34" t="n"/>
      <c r="G14" s="34" t="n"/>
      <c r="H14" s="34" t="n"/>
      <c r="I14" s="35" t="n"/>
    </row>
    <row r="15" ht="30" customHeight="1">
      <c r="A15" s="23" t="inlineStr">
        <is>
          <t>・一方で、STEP1〜2に金額成果が出せない以上、この期間は「課題提出率」「初提案までの日数」といった行動指標を成果の代替として置き、達成を可視化して小さな成功体験にする必要がある。</t>
        </is>
      </c>
      <c r="B15" s="34" t="n"/>
      <c r="C15" s="34" t="n"/>
      <c r="D15" s="34" t="n"/>
      <c r="E15" s="34" t="n"/>
      <c r="F15" s="34" t="n"/>
      <c r="G15" s="34" t="n"/>
      <c r="H15" s="34" t="n"/>
      <c r="I15" s="35" t="n"/>
    </row>
  </sheetData>
  <mergeCells count="7">
    <mergeCell ref="A15:I15"/>
    <mergeCell ref="A2:I2"/>
    <mergeCell ref="A11:I11"/>
    <mergeCell ref="A13:I13"/>
    <mergeCell ref="A14:I14"/>
    <mergeCell ref="A1:I1"/>
    <mergeCell ref="A12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14" customWidth="1" min="4" max="4"/>
    <col width="40" customWidth="1" min="5" max="5"/>
    <col width="36" customWidth="1" min="6" max="6"/>
    <col width="40" customWidth="1" min="7" max="7"/>
    <col width="9" customWidth="1" min="8" max="8"/>
    <col width="10" customWidth="1" min="9" max="9"/>
    <col width="8" customWidth="1" min="10" max="10"/>
    <col width="9" customWidth="1" min="11" max="11"/>
  </cols>
  <sheetData>
    <row r="1" ht="30" customHeight="1">
      <c r="A1" s="1" t="inlineStr">
        <is>
          <t>課題一覧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5" t="n"/>
    </row>
    <row r="2" ht="22" customHeight="1">
      <c r="A2" s="14" t="inlineStr">
        <is>
          <t>※ 以下はたたき台。提案者欄に記入者名を入れ、実態に合うものを残す／書き換える。影響度・変えやすさを 3=大 2=中 1=小 で入れると、スコアと優先度（A:6以上／B:4以上／C:それ未満）が自動計算される。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5" t="n"/>
    </row>
    <row r="3" ht="20" customHeight="1">
      <c r="A3" s="24" t="inlineStr">
        <is>
          <t>記入例）GC-00 ／ 新井 ／ ③受講生 ／ STEP3 ／ 提案を送る手が2週間止まっている受講生がいる ／ 不採用が続き心理的に折れている ／ 3ヶ月目の離脱要因の上位 ／ 3 ／ 2 ／（自動） ／（自動）</t>
        </is>
      </c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5" t="n"/>
    </row>
    <row r="5" ht="34" customHeight="1">
      <c r="A5" s="15" t="inlineStr">
        <is>
          <t>課題ID</t>
        </is>
      </c>
      <c r="B5" s="15" t="inlineStr">
        <is>
          <t>提案者</t>
        </is>
      </c>
      <c r="C5" s="15" t="inlineStr">
        <is>
          <t>軸</t>
        </is>
      </c>
      <c r="D5" s="15" t="inlineStr">
        <is>
          <t>対象フェーズ</t>
        </is>
      </c>
      <c r="E5" s="15" t="inlineStr">
        <is>
          <t>課題</t>
        </is>
      </c>
      <c r="F5" s="15" t="inlineStr">
        <is>
          <t>根拠・原因</t>
        </is>
      </c>
      <c r="G5" s="15" t="inlineStr">
        <is>
          <t>詳細・影響</t>
        </is>
      </c>
      <c r="H5" s="15" t="inlineStr">
        <is>
          <t>影響度
(3/2/1)</t>
        </is>
      </c>
      <c r="I5" s="15" t="inlineStr">
        <is>
          <t>変えやすさ
(3/2/1)</t>
        </is>
      </c>
      <c r="J5" s="15" t="inlineStr">
        <is>
          <t>スコア</t>
        </is>
      </c>
      <c r="K5" s="15" t="inlineStr">
        <is>
          <t>優先度</t>
        </is>
      </c>
    </row>
    <row r="6" ht="46" customHeight="1">
      <c r="A6" s="16" t="inlineStr">
        <is>
          <t>GC-01</t>
        </is>
      </c>
      <c r="B6" s="17" t="inlineStr">
        <is>
          <t>たたき台</t>
        </is>
      </c>
      <c r="C6" s="18" t="inlineStr">
        <is>
          <t>①内容（グルコン設計）</t>
        </is>
      </c>
      <c r="D6" s="17" t="inlineStr">
        <is>
          <t>全期間</t>
        </is>
      </c>
      <c r="E6" s="18" t="inlineStr">
        <is>
          <t>週3〜4回あるグルコンの各回にテーマ設定がなく、毎回「質問がある人？」形式になっている</t>
        </is>
      </c>
      <c r="F6" s="18" t="inlineStr">
        <is>
          <t>回ごとの目的・アジェンダが定義されていない。開催数が多く、1回あたりの準備が追いついていない</t>
        </is>
      </c>
      <c r="G6" s="18" t="inlineStr">
        <is>
          <t>質問を持てる受講生だけが価値を得る構造。受け身の受講生は参加しても手ぶらで終わり、参加意義を感じず足が遠のく</t>
        </is>
      </c>
      <c r="H6" s="25" t="n"/>
      <c r="I6" s="25" t="n"/>
      <c r="J6" s="17">
        <f>IF(OR($H6="",$I6=""),"",$H6*$I6)</f>
        <v/>
      </c>
      <c r="K6" s="16">
        <f>IF($J6="","",IF($J6&gt;=6,"A",IF($J6&gt;=4,"B","C")))</f>
        <v/>
      </c>
    </row>
    <row r="7" ht="46" customHeight="1">
      <c r="A7" s="19" t="inlineStr">
        <is>
          <t>GC-02</t>
        </is>
      </c>
      <c r="B7" s="20" t="inlineStr">
        <is>
          <t>たたき台</t>
        </is>
      </c>
      <c r="C7" s="21" t="inlineStr">
        <is>
          <t>①内容（グルコン設計）</t>
        </is>
      </c>
      <c r="D7" s="20" t="inlineStr">
        <is>
          <t>全期間</t>
        </is>
      </c>
      <c r="E7" s="21" t="inlineStr">
        <is>
          <t>STEP1〜STEP6の受講生が同じ回に混在し、内容がどのフェーズにも最適化されていない</t>
        </is>
      </c>
      <c r="F7" s="21" t="inlineStr">
        <is>
          <t>フェーズ別の開催枠がなく、全員同一枠で運営されている</t>
        </is>
      </c>
      <c r="G7" s="21" t="inlineStr">
        <is>
          <t>1ヶ月目は話についていけず、5ヶ月目は物足りない。両端の受講生から満足度が落ちる</t>
        </is>
      </c>
      <c r="H7" s="25" t="n"/>
      <c r="I7" s="25" t="n"/>
      <c r="J7" s="20">
        <f>IF(OR($H7="",$I7=""),"",$H7*$I7)</f>
        <v/>
      </c>
      <c r="K7" s="19">
        <f>IF($J7="","",IF($J7&gt;=6,"A",IF($J7&gt;=4,"B","C")))</f>
        <v/>
      </c>
    </row>
    <row r="8" ht="46" customHeight="1">
      <c r="A8" s="16" t="inlineStr">
        <is>
          <t>GC-03</t>
        </is>
      </c>
      <c r="B8" s="17" t="inlineStr">
        <is>
          <t>たたき台</t>
        </is>
      </c>
      <c r="C8" s="18" t="inlineStr">
        <is>
          <t>①内容（グルコン設計）</t>
        </is>
      </c>
      <c r="D8" s="17" t="inlineStr">
        <is>
          <t>STEP1〜2</t>
        </is>
      </c>
      <c r="E8" s="18" t="inlineStr">
        <is>
          <t>1ヶ月目（デザイン期）に「稼ぐ」「営業」に触れる回がなく、営業は2ヶ月目からという前提が受講生に刷り込まれている</t>
        </is>
      </c>
      <c r="F8" s="18" t="inlineStr">
        <is>
          <t>カリキュラムの構成をそのままグルコンの構成に流用している</t>
        </is>
      </c>
      <c r="G8" s="18" t="inlineStr">
        <is>
          <t>初提案が2ヶ月目後半まで動かず、初受注が3ヶ月目以降にずれ込む。初成果までの日数が伸びる最大の構造要因</t>
        </is>
      </c>
      <c r="H8" s="25" t="n"/>
      <c r="I8" s="25" t="n"/>
      <c r="J8" s="17">
        <f>IF(OR($H8="",$I8=""),"",$H8*$I8)</f>
        <v/>
      </c>
      <c r="K8" s="16">
        <f>IF($J8="","",IF($J8&gt;=6,"A",IF($J8&gt;=4,"B","C")))</f>
        <v/>
      </c>
    </row>
    <row r="9" ht="46" customHeight="1">
      <c r="A9" s="19" t="inlineStr">
        <is>
          <t>GC-04</t>
        </is>
      </c>
      <c r="B9" s="20" t="inlineStr">
        <is>
          <t>たたき台</t>
        </is>
      </c>
      <c r="C9" s="21" t="inlineStr">
        <is>
          <t>①内容（グルコン設計）</t>
        </is>
      </c>
      <c r="D9" s="20" t="inlineStr">
        <is>
          <t>STEP2〜3</t>
        </is>
      </c>
      <c r="E9" s="21" t="inlineStr">
        <is>
          <t>営業フェーズのグルコンで、実物（プロフィール・提案文・ポートフォリオ）をその場で直す時間が確保されていない</t>
        </is>
      </c>
      <c r="F9" s="21" t="inlineStr">
        <is>
          <t>説明と質疑応答が中心の構成になっている</t>
        </is>
      </c>
      <c r="G9" s="21" t="inlineStr">
        <is>
          <t>「分かったが直っていない」状態で解散し、次回まで提案が1件も進まない週が生まれる</t>
        </is>
      </c>
      <c r="H9" s="25" t="n"/>
      <c r="I9" s="25" t="n"/>
      <c r="J9" s="20">
        <f>IF(OR($H9="",$I9=""),"",$H9*$I9)</f>
        <v/>
      </c>
      <c r="K9" s="19">
        <f>IF($J9="","",IF($J9&gt;=6,"A",IF($J9&gt;=4,"B","C")))</f>
        <v/>
      </c>
    </row>
    <row r="10" ht="46" customHeight="1">
      <c r="A10" s="16" t="inlineStr">
        <is>
          <t>GC-05</t>
        </is>
      </c>
      <c r="B10" s="17" t="inlineStr">
        <is>
          <t>たたき台</t>
        </is>
      </c>
      <c r="C10" s="18" t="inlineStr">
        <is>
          <t>①内容（グルコン設計）</t>
        </is>
      </c>
      <c r="D10" s="17" t="inlineStr">
        <is>
          <t>全期間</t>
        </is>
      </c>
      <c r="E10" s="18" t="inlineStr">
        <is>
          <t>グルコンで扱う内容が、カリキュラム進捗や日報の内容と連動していない</t>
        </is>
      </c>
      <c r="F10" s="18" t="inlineStr">
        <is>
          <t>講師が事前に受講生の進捗を確認する運用がない</t>
        </is>
      </c>
      <c r="G10" s="18" t="inlineStr">
        <is>
          <t>全体最適な一般論に終始し、個々の詰まりが解消されないまま同じ話が繰り返される</t>
        </is>
      </c>
      <c r="H10" s="25" t="n"/>
      <c r="I10" s="25" t="n"/>
      <c r="J10" s="17">
        <f>IF(OR($H10="",$I10=""),"",$H10*$I10)</f>
        <v/>
      </c>
      <c r="K10" s="16">
        <f>IF($J10="","",IF($J10&gt;=6,"A",IF($J10&gt;=4,"B","C")))</f>
        <v/>
      </c>
    </row>
    <row r="11" ht="46" customHeight="1">
      <c r="A11" s="19" t="inlineStr">
        <is>
          <t>GC-06</t>
        </is>
      </c>
      <c r="B11" s="20" t="inlineStr">
        <is>
          <t>たたき台</t>
        </is>
      </c>
      <c r="C11" s="21" t="inlineStr">
        <is>
          <t>①内容（グルコン設計）</t>
        </is>
      </c>
      <c r="D11" s="20" t="inlineStr">
        <is>
          <t>STEP1〜2</t>
        </is>
      </c>
      <c r="E11" s="21" t="inlineStr">
        <is>
          <t>マインドに関するカリキュラムがSNSマーケコースにはあるが、デザイン・営業コースには用意されていない</t>
        </is>
      </c>
      <c r="F11" s="21" t="inlineStr">
        <is>
          <t>コース設計時に差異が生まれ、その後統合されていない</t>
        </is>
      </c>
      <c r="G11" s="21" t="inlineStr">
        <is>
          <t>行動量の差がマインドに起因していても、介入する共通の教材・言語がない</t>
        </is>
      </c>
      <c r="H11" s="25" t="n"/>
      <c r="I11" s="25" t="n"/>
      <c r="J11" s="20">
        <f>IF(OR($H11="",$I11=""),"",$H11*$I11)</f>
        <v/>
      </c>
      <c r="K11" s="19">
        <f>IF($J11="","",IF($J11&gt;=6,"A",IF($J11&gt;=4,"B","C")))</f>
        <v/>
      </c>
    </row>
    <row r="12" ht="46" customHeight="1">
      <c r="A12" s="16" t="inlineStr">
        <is>
          <t>GC-07</t>
        </is>
      </c>
      <c r="B12" s="17" t="inlineStr">
        <is>
          <t>たたき台</t>
        </is>
      </c>
      <c r="C12" s="18" t="inlineStr">
        <is>
          <t>②講師</t>
        </is>
      </c>
      <c r="D12" s="17" t="inlineStr">
        <is>
          <t>全期間</t>
        </is>
      </c>
      <c r="E12" s="18" t="inlineStr">
        <is>
          <t>講師によって進行・回答の質・熱量にばらつきがあり、当たり外れが生まれている</t>
        </is>
      </c>
      <c r="F12" s="18" t="inlineStr">
        <is>
          <t>進行マニュアルや回答基準が言語化されておらず、属人的に運営されている</t>
        </is>
      </c>
      <c r="G12" s="18" t="inlineStr">
        <is>
          <t>受講生が参加する回を選ぶようになり、特定講師の回以外の参加率が落ちる</t>
        </is>
      </c>
      <c r="H12" s="25" t="n"/>
      <c r="I12" s="25" t="n"/>
      <c r="J12" s="17">
        <f>IF(OR($H12="",$I12=""),"",$H12*$I12)</f>
        <v/>
      </c>
      <c r="K12" s="16">
        <f>IF($J12="","",IF($J12&gt;=6,"A",IF($J12&gt;=4,"B","C")))</f>
        <v/>
      </c>
    </row>
    <row r="13" ht="46" customHeight="1">
      <c r="A13" s="19" t="inlineStr">
        <is>
          <t>GC-08</t>
        </is>
      </c>
      <c r="B13" s="20" t="inlineStr">
        <is>
          <t>たたき台</t>
        </is>
      </c>
      <c r="C13" s="21" t="inlineStr">
        <is>
          <t>②講師</t>
        </is>
      </c>
      <c r="D13" s="20" t="inlineStr">
        <is>
          <t>全期間</t>
        </is>
      </c>
      <c r="E13" s="21" t="inlineStr">
        <is>
          <t>グルコン終了時に、参加者それぞれの「次の1週間で何をするか」が確定しないまま解散している</t>
        </is>
      </c>
      <c r="F13" s="21" t="inlineStr">
        <is>
          <t>質疑応答で完結する設計になっており、アクションを決めて終わる型がない</t>
        </is>
      </c>
      <c r="G13" s="21" t="inlineStr">
        <is>
          <t>その場の納得だけで終わり行動に変換されない。翌週も同じ地点に留まる受講生が生まれる</t>
        </is>
      </c>
      <c r="H13" s="25" t="n"/>
      <c r="I13" s="25" t="n"/>
      <c r="J13" s="20">
        <f>IF(OR($H13="",$I13=""),"",$H13*$I13)</f>
        <v/>
      </c>
      <c r="K13" s="19">
        <f>IF($J13="","",IF($J13&gt;=6,"A",IF($J13&gt;=4,"B","C")))</f>
        <v/>
      </c>
    </row>
    <row r="14" ht="46" customHeight="1">
      <c r="A14" s="16" t="inlineStr">
        <is>
          <t>GC-09</t>
        </is>
      </c>
      <c r="B14" s="17" t="inlineStr">
        <is>
          <t>たたき台</t>
        </is>
      </c>
      <c r="C14" s="18" t="inlineStr">
        <is>
          <t>②講師</t>
        </is>
      </c>
      <c r="D14" s="17" t="inlineStr">
        <is>
          <t>全期間</t>
        </is>
      </c>
      <c r="E14" s="18" t="inlineStr">
        <is>
          <t>成果が出た受講生の共通項が、講師・メンター間で言語化・共有されていない</t>
        </is>
      </c>
      <c r="F14" s="18" t="inlineStr">
        <is>
          <t>成果事例を棚卸しして型に落とす場がない</t>
        </is>
      </c>
      <c r="G14" s="18" t="inlineStr">
        <is>
          <t>再現性のある指導ができず、指導内容が個人の経験則に依存する</t>
        </is>
      </c>
      <c r="H14" s="25" t="n"/>
      <c r="I14" s="25" t="n"/>
      <c r="J14" s="17">
        <f>IF(OR($H14="",$I14=""),"",$H14*$I14)</f>
        <v/>
      </c>
      <c r="K14" s="16">
        <f>IF($J14="","",IF($J14&gt;=6,"A",IF($J14&gt;=4,"B","C")))</f>
        <v/>
      </c>
    </row>
    <row r="15" ht="46" customHeight="1">
      <c r="A15" s="19" t="inlineStr">
        <is>
          <t>GC-10</t>
        </is>
      </c>
      <c r="B15" s="20" t="inlineStr">
        <is>
          <t>たたき台</t>
        </is>
      </c>
      <c r="C15" s="21" t="inlineStr">
        <is>
          <t>②講師</t>
        </is>
      </c>
      <c r="D15" s="20" t="inlineStr">
        <is>
          <t>全期間</t>
        </is>
      </c>
      <c r="E15" s="21" t="inlineStr">
        <is>
          <t>講師が受講生の日報・提案数・進捗を見ないままグルコンに入っている</t>
        </is>
      </c>
      <c r="F15" s="21" t="inlineStr">
        <is>
          <t>事前に確認できる形でデータが1箇所に集約されていない</t>
        </is>
      </c>
      <c r="G15" s="21" t="inlineStr">
        <is>
          <t>停滞している受講生に気づけず、対応が「発言した人」だけに偏る</t>
        </is>
      </c>
      <c r="H15" s="25" t="n"/>
      <c r="I15" s="25" t="n"/>
      <c r="J15" s="20">
        <f>IF(OR($H15="",$I15=""),"",$H15*$I15)</f>
        <v/>
      </c>
      <c r="K15" s="19">
        <f>IF($J15="","",IF($J15&gt;=6,"A",IF($J15&gt;=4,"B","C")))</f>
        <v/>
      </c>
    </row>
    <row r="16" ht="46" customHeight="1">
      <c r="A16" s="16" t="inlineStr">
        <is>
          <t>GC-11</t>
        </is>
      </c>
      <c r="B16" s="17" t="inlineStr">
        <is>
          <t>たたき台</t>
        </is>
      </c>
      <c r="C16" s="18" t="inlineStr">
        <is>
          <t>③受講生</t>
        </is>
      </c>
      <c r="D16" s="17" t="inlineStr">
        <is>
          <t>全期間</t>
        </is>
      </c>
      <c r="E16" s="18" t="inlineStr">
        <is>
          <t>グルコン参加率が低い受講生がいるが、欠席が続いた際に検知・介入する基準がない</t>
        </is>
      </c>
      <c r="F16" s="18" t="inlineStr">
        <is>
          <t>出席の記録・アラートの運用がない</t>
        </is>
      </c>
      <c r="G16" s="18" t="inlineStr">
        <is>
          <t>停滞から離脱に至る最も分かりやすい予兆を取りこぼしている</t>
        </is>
      </c>
      <c r="H16" s="25" t="n"/>
      <c r="I16" s="25" t="n"/>
      <c r="J16" s="17">
        <f>IF(OR($H16="",$I16=""),"",$H16*$I16)</f>
        <v/>
      </c>
      <c r="K16" s="16">
        <f>IF($J16="","",IF($J16&gt;=6,"A",IF($J16&gt;=4,"B","C")))</f>
        <v/>
      </c>
    </row>
    <row r="17" ht="46" customHeight="1">
      <c r="A17" s="19" t="inlineStr">
        <is>
          <t>GC-12</t>
        </is>
      </c>
      <c r="B17" s="20" t="inlineStr">
        <is>
          <t>たたき台</t>
        </is>
      </c>
      <c r="C17" s="21" t="inlineStr">
        <is>
          <t>③受講生</t>
        </is>
      </c>
      <c r="D17" s="20" t="inlineStr">
        <is>
          <t>全期間</t>
        </is>
      </c>
      <c r="E17" s="21" t="inlineStr">
        <is>
          <t>発言する人が固定化し、大半がカメラオフ・無言の視聴のみになっている</t>
        </is>
      </c>
      <c r="F17" s="21" t="inlineStr">
        <is>
          <t>全員に発言を求める進行設計になっていない。1回あたりの人数も多い</t>
        </is>
      </c>
      <c r="G17" s="21" t="inlineStr">
        <is>
          <t>場への当事者意識が育たず、学びが行動に定着しない</t>
        </is>
      </c>
      <c r="H17" s="25" t="n"/>
      <c r="I17" s="25" t="n"/>
      <c r="J17" s="20">
        <f>IF(OR($H17="",$I17=""),"",$H17*$I17)</f>
        <v/>
      </c>
      <c r="K17" s="19">
        <f>IF($J17="","",IF($J17&gt;=6,"A",IF($J17&gt;=4,"B","C")))</f>
        <v/>
      </c>
    </row>
    <row r="18" ht="46" customHeight="1">
      <c r="A18" s="16" t="inlineStr">
        <is>
          <t>GC-13</t>
        </is>
      </c>
      <c r="B18" s="17" t="inlineStr">
        <is>
          <t>たたき台</t>
        </is>
      </c>
      <c r="C18" s="18" t="inlineStr">
        <is>
          <t>③受講生</t>
        </is>
      </c>
      <c r="D18" s="17" t="inlineStr">
        <is>
          <t>全期間</t>
        </is>
      </c>
      <c r="E18" s="18" t="inlineStr">
        <is>
          <t>質問を準備せずに参加するため、抽象的な質問しか出てこない</t>
        </is>
      </c>
      <c r="F18" s="18" t="inlineStr">
        <is>
          <t>事前に議題を提出するフローがない</t>
        </is>
      </c>
      <c r="G18" s="18" t="inlineStr">
        <is>
          <t>回答も抽象的になり、具体的な次の一手につながらない</t>
        </is>
      </c>
      <c r="H18" s="25" t="n"/>
      <c r="I18" s="25" t="n"/>
      <c r="J18" s="17">
        <f>IF(OR($H18="",$I18=""),"",$H18*$I18)</f>
        <v/>
      </c>
      <c r="K18" s="16">
        <f>IF($J18="","",IF($J18&gt;=6,"A",IF($J18&gt;=4,"B","C")))</f>
        <v/>
      </c>
    </row>
    <row r="19" ht="46" customHeight="1">
      <c r="A19" s="19" t="inlineStr">
        <is>
          <t>GC-14</t>
        </is>
      </c>
      <c r="B19" s="20" t="inlineStr">
        <is>
          <t>たたき台</t>
        </is>
      </c>
      <c r="C19" s="21" t="inlineStr">
        <is>
          <t>③受講生</t>
        </is>
      </c>
      <c r="D19" s="20" t="inlineStr">
        <is>
          <t>STEP1〜2</t>
        </is>
      </c>
      <c r="E19" s="21" t="inlineStr">
        <is>
          <t>完璧主義でポートフォリオが完成せず、営業フェーズに進めない受講生が一定数いる</t>
        </is>
      </c>
      <c r="F19" s="21" t="inlineStr">
        <is>
          <t>「何がどこまでできたら営業を始めてよいか」の基準が示されていない</t>
        </is>
      </c>
      <c r="G19" s="21" t="inlineStr">
        <is>
          <t>初提案が遅れ、初受注までの日数が丸ごと後ろにずれる</t>
        </is>
      </c>
      <c r="H19" s="25" t="n"/>
      <c r="I19" s="25" t="n"/>
      <c r="J19" s="20">
        <f>IF(OR($H19="",$I19=""),"",$H19*$I19)</f>
        <v/>
      </c>
      <c r="K19" s="19">
        <f>IF($J19="","",IF($J19&gt;=6,"A",IF($J19&gt;=4,"B","C")))</f>
        <v/>
      </c>
    </row>
    <row r="20" ht="46" customHeight="1">
      <c r="A20" s="16" t="inlineStr">
        <is>
          <t>GC-15</t>
        </is>
      </c>
      <c r="B20" s="17" t="inlineStr">
        <is>
          <t>たたき台</t>
        </is>
      </c>
      <c r="C20" s="18" t="inlineStr">
        <is>
          <t>③受講生</t>
        </is>
      </c>
      <c r="D20" s="17" t="inlineStr">
        <is>
          <t>STEP2〜4</t>
        </is>
      </c>
      <c r="E20" s="18" t="inlineStr">
        <is>
          <t>他の受講生の提案数・成果が見えず、自分の基準値が上がらない</t>
        </is>
      </c>
      <c r="F20" s="18" t="inlineStr">
        <is>
          <t>数値を開示し合う場がない</t>
        </is>
      </c>
      <c r="G20" s="18" t="inlineStr">
        <is>
          <t>「まだ大丈夫」という認識のまま時間が過ぎ、6ヶ月の後半で焦る構造になる</t>
        </is>
      </c>
      <c r="H20" s="25" t="n"/>
      <c r="I20" s="25" t="n"/>
      <c r="J20" s="17">
        <f>IF(OR($H20="",$I20=""),"",$H20*$I20)</f>
        <v/>
      </c>
      <c r="K20" s="16">
        <f>IF($J20="","",IF($J20&gt;=6,"A",IF($J20&gt;=4,"B","C")))</f>
        <v/>
      </c>
    </row>
    <row r="21" ht="46" customHeight="1">
      <c r="A21" s="19" t="inlineStr">
        <is>
          <t>GC-16</t>
        </is>
      </c>
      <c r="B21" s="20" t="inlineStr">
        <is>
          <t>たたき台</t>
        </is>
      </c>
      <c r="C21" s="21" t="inlineStr">
        <is>
          <t>③受講生</t>
        </is>
      </c>
      <c r="D21" s="20" t="inlineStr">
        <is>
          <t>STEP3</t>
        </is>
      </c>
      <c r="E21" s="21" t="inlineStr">
        <is>
          <t>案件に落ちた経験が個人の中で閉じ、心が折れて営業が止まる</t>
        </is>
      </c>
      <c r="F21" s="21" t="inlineStr">
        <is>
          <t>不採用を共有し、原因を解剖する場がない</t>
        </is>
      </c>
      <c r="G21" s="21" t="inlineStr">
        <is>
          <t>0→1のSTEP3で最も脱落が起きる。ここを越えられるかで6ヶ月の結果が決まる</t>
        </is>
      </c>
      <c r="H21" s="25" t="n"/>
      <c r="I21" s="25" t="n"/>
      <c r="J21" s="20">
        <f>IF(OR($H21="",$I21=""),"",$H21*$I21)</f>
        <v/>
      </c>
      <c r="K21" s="19">
        <f>IF($J21="","",IF($J21&gt;=6,"A",IF($J21&gt;=4,"B","C")))</f>
        <v/>
      </c>
    </row>
    <row r="22" ht="46" customHeight="1">
      <c r="A22" s="16" t="inlineStr">
        <is>
          <t>GC-17</t>
        </is>
      </c>
      <c r="B22" s="17" t="inlineStr">
        <is>
          <t>たたき台</t>
        </is>
      </c>
      <c r="C22" s="18" t="inlineStr">
        <is>
          <t>④CSメンター</t>
        </is>
      </c>
      <c r="D22" s="17" t="inlineStr">
        <is>
          <t>全期間</t>
        </is>
      </c>
      <c r="E22" s="18" t="inlineStr">
        <is>
          <t>グルコンで決めたアクションが、その後の1on1でフォローされていない</t>
        </is>
      </c>
      <c r="F22" s="18" t="inlineStr">
        <is>
          <t>グルコンと1on1の間で情報の受け渡しがされていない</t>
        </is>
      </c>
      <c r="G22" s="18" t="inlineStr">
        <is>
          <t>決めたことが実行されず、週次のサイクルが空回りする</t>
        </is>
      </c>
      <c r="H22" s="25" t="n"/>
      <c r="I22" s="25" t="n"/>
      <c r="J22" s="17">
        <f>IF(OR($H22="",$I22=""),"",$H22*$I22)</f>
        <v/>
      </c>
      <c r="K22" s="16">
        <f>IF($J22="","",IF($J22&gt;=6,"A",IF($J22&gt;=4,"B","C")))</f>
        <v/>
      </c>
    </row>
    <row r="23" ht="46" customHeight="1">
      <c r="A23" s="19" t="inlineStr">
        <is>
          <t>GC-18</t>
        </is>
      </c>
      <c r="B23" s="20" t="inlineStr">
        <is>
          <t>たたき台</t>
        </is>
      </c>
      <c r="C23" s="21" t="inlineStr">
        <is>
          <t>④CSメンター</t>
        </is>
      </c>
      <c r="D23" s="20" t="inlineStr">
        <is>
          <t>全期間</t>
        </is>
      </c>
      <c r="E23" s="21" t="inlineStr">
        <is>
          <t>毎日の日報が「報告」で終わり、停滞のシグナルとして運用されていない</t>
        </is>
      </c>
      <c r="F23" s="21" t="inlineStr">
        <is>
          <t>日報の確認基準やアラート条件が定義されていない</t>
        </is>
      </c>
      <c r="G23" s="21" t="inlineStr">
        <is>
          <t>手が止まっている受講生の発見が数日〜数週間遅れる</t>
        </is>
      </c>
      <c r="H23" s="25" t="n"/>
      <c r="I23" s="25" t="n"/>
      <c r="J23" s="20">
        <f>IF(OR($H23="",$I23=""),"",$H23*$I23)</f>
        <v/>
      </c>
      <c r="K23" s="19">
        <f>IF($J23="","",IF($J23&gt;=6,"A",IF($J23&gt;=4,"B","C")))</f>
        <v/>
      </c>
    </row>
    <row r="24" ht="46" customHeight="1">
      <c r="A24" s="16" t="inlineStr">
        <is>
          <t>GC-19</t>
        </is>
      </c>
      <c r="B24" s="17" t="inlineStr">
        <is>
          <t>たたき台</t>
        </is>
      </c>
      <c r="C24" s="18" t="inlineStr">
        <is>
          <t>④CSメンター</t>
        </is>
      </c>
      <c r="D24" s="17" t="inlineStr">
        <is>
          <t>全期間</t>
        </is>
      </c>
      <c r="E24" s="18" t="inlineStr">
        <is>
          <t>停滞者の検知が担当メンターの感覚に依存し、判断基準が統一されていない</t>
        </is>
      </c>
      <c r="F24" s="18" t="inlineStr">
        <is>
          <t>そもそも「停滞」の定義がない</t>
        </is>
      </c>
      <c r="G24" s="18" t="inlineStr">
        <is>
          <t>メンターごとに介入のタイミングが数週間ずれ、サポート品質が担当者で決まってしまう</t>
        </is>
      </c>
      <c r="H24" s="25" t="n"/>
      <c r="I24" s="25" t="n"/>
      <c r="J24" s="17">
        <f>IF(OR($H24="",$I24=""),"",$H24*$I24)</f>
        <v/>
      </c>
      <c r="K24" s="16">
        <f>IF($J24="","",IF($J24&gt;=6,"A",IF($J24&gt;=4,"B","C")))</f>
        <v/>
      </c>
    </row>
    <row r="25" ht="46" customHeight="1">
      <c r="A25" s="19" t="inlineStr">
        <is>
          <t>GC-20</t>
        </is>
      </c>
      <c r="B25" s="20" t="inlineStr">
        <is>
          <t>たたき台</t>
        </is>
      </c>
      <c r="C25" s="21" t="inlineStr">
        <is>
          <t>④CSメンター</t>
        </is>
      </c>
      <c r="D25" s="20" t="inlineStr">
        <is>
          <t>全期間</t>
        </is>
      </c>
      <c r="E25" s="21" t="inlineStr">
        <is>
          <t>メンターごとに担当受講生の成果率に差があるが、要因が分析されていない</t>
        </is>
      </c>
      <c r="F25" s="21" t="inlineStr">
        <is>
          <t>成果率をメンター単位で集計する仕組みがない</t>
        </is>
      </c>
      <c r="G25" s="21" t="inlineStr">
        <is>
          <t>成果を出せているメンターのやり方がチームに横展開されない</t>
        </is>
      </c>
      <c r="H25" s="25" t="n"/>
      <c r="I25" s="25" t="n"/>
      <c r="J25" s="20">
        <f>IF(OR($H25="",$I25=""),"",$H25*$I25)</f>
        <v/>
      </c>
      <c r="K25" s="19">
        <f>IF($J25="","",IF($J25&gt;=6,"A",IF($J25&gt;=4,"B","C")))</f>
        <v/>
      </c>
    </row>
    <row r="26" ht="46" customHeight="1">
      <c r="A26" s="16" t="inlineStr">
        <is>
          <t>GC-21</t>
        </is>
      </c>
      <c r="B26" s="17" t="inlineStr">
        <is>
          <t>たたき台</t>
        </is>
      </c>
      <c r="C26" s="18" t="inlineStr">
        <is>
          <t>④CSメンター</t>
        </is>
      </c>
      <c r="D26" s="17" t="inlineStr">
        <is>
          <t>STEP2〜5</t>
        </is>
      </c>
      <c r="E26" s="18" t="inlineStr">
        <is>
          <t>メンター自身の営業実務・受注経験に差があり、営業フェーズでの指導の説得力が揃っていない</t>
        </is>
      </c>
      <c r="F26" s="18" t="inlineStr">
        <is>
          <t>メンターの要件定義・育成プログラムが整備されていない</t>
        </is>
      </c>
      <c r="G26" s="18" t="inlineStr">
        <is>
          <t>受講生が営業段階で本当に頼れる相手を見つけられず、質問が特定の人に集中する</t>
        </is>
      </c>
      <c r="H26" s="25" t="n"/>
      <c r="I26" s="25" t="n"/>
      <c r="J26" s="17">
        <f>IF(OR($H26="",$I26=""),"",$H26*$I26)</f>
        <v/>
      </c>
      <c r="K26" s="16">
        <f>IF($J26="","",IF($J26&gt;=6,"A",IF($J26&gt;=4,"B","C")))</f>
        <v/>
      </c>
    </row>
    <row r="27" ht="46" customHeight="1">
      <c r="A27" s="19" t="inlineStr">
        <is>
          <t>GC-22</t>
        </is>
      </c>
      <c r="B27" s="20" t="inlineStr">
        <is>
          <t>たたき台</t>
        </is>
      </c>
      <c r="C27" s="21" t="inlineStr">
        <is>
          <t>④CSメンター</t>
        </is>
      </c>
      <c r="D27" s="20" t="inlineStr">
        <is>
          <t>全期間</t>
        </is>
      </c>
      <c r="E27" s="21" t="inlineStr">
        <is>
          <t>メンターの担当人数・稼働工数が可視化されておらず、繁忙期に個別対応が薄くなる</t>
        </is>
      </c>
      <c r="F27" s="21" t="inlineStr">
        <is>
          <t>稼働管理の仕組みがない</t>
        </is>
      </c>
      <c r="G27" s="21" t="inlineStr">
        <is>
          <t>入会が集中した月の受講生ほど成果率が下がるという、受講生側に非のない差が生まれる</t>
        </is>
      </c>
      <c r="H27" s="25" t="n"/>
      <c r="I27" s="25" t="n"/>
      <c r="J27" s="20">
        <f>IF(OR($H27="",$I27=""),"",$H27*$I27)</f>
        <v/>
      </c>
      <c r="K27" s="19">
        <f>IF($J27="","",IF($J27&gt;=6,"A",IF($J27&gt;=4,"B","C")))</f>
        <v/>
      </c>
    </row>
    <row r="28" ht="46" customHeight="1">
      <c r="A28" s="16" t="inlineStr">
        <is>
          <t>GC-23</t>
        </is>
      </c>
      <c r="B28" s="17" t="inlineStr">
        <is>
          <t>たたき台</t>
        </is>
      </c>
      <c r="C28" s="18" t="inlineStr">
        <is>
          <t>⑤運営・仕組み</t>
        </is>
      </c>
      <c r="D28" s="17" t="inlineStr">
        <is>
          <t>全期間</t>
        </is>
      </c>
      <c r="E28" s="18" t="inlineStr">
        <is>
          <t>グルコンの録画・アーカイブが検索できる形で整理されておらず、欠席者フォローが機能していない</t>
        </is>
      </c>
      <c r="F28" s="18" t="inlineStr">
        <is>
          <t>テーマのタグ付け・要約の運用がない</t>
        </is>
      </c>
      <c r="G28" s="18" t="inlineStr">
        <is>
          <t>欠席が学習機会の完全な損失になり、1回の欠席が停滞の起点になる</t>
        </is>
      </c>
      <c r="H28" s="25" t="n"/>
      <c r="I28" s="25" t="n"/>
      <c r="J28" s="17">
        <f>IF(OR($H28="",$I28=""),"",$H28*$I28)</f>
        <v/>
      </c>
      <c r="K28" s="16">
        <f>IF($J28="","",IF($J28&gt;=6,"A",IF($J28&gt;=4,"B","C")))</f>
        <v/>
      </c>
    </row>
    <row r="29" ht="46" customHeight="1">
      <c r="A29" s="19" t="inlineStr">
        <is>
          <t>GC-24</t>
        </is>
      </c>
      <c r="B29" s="20" t="inlineStr">
        <is>
          <t>たたき台</t>
        </is>
      </c>
      <c r="C29" s="21" t="inlineStr">
        <is>
          <t>⑤運営・仕組み</t>
        </is>
      </c>
      <c r="D29" s="20" t="inlineStr">
        <is>
          <t>全期間</t>
        </is>
      </c>
      <c r="E29" s="21" t="inlineStr">
        <is>
          <t>事前議題の提出 → 当日の内容 → 事後アクション の一連の流れが1箇所に残っていない</t>
        </is>
      </c>
      <c r="F29" s="21" t="inlineStr">
        <is>
          <t>日報・チャット・1on1メモとツールが分散している</t>
        </is>
      </c>
      <c r="G29" s="21" t="inlineStr">
        <is>
          <t>誰が何を決めたのか追跡できず、フォローが完全に属人化する</t>
        </is>
      </c>
      <c r="H29" s="25" t="n"/>
      <c r="I29" s="25" t="n"/>
      <c r="J29" s="20">
        <f>IF(OR($H29="",$I29=""),"",$H29*$I29)</f>
        <v/>
      </c>
      <c r="K29" s="19">
        <f>IF($J29="","",IF($J29&gt;=6,"A",IF($J29&gt;=4,"B","C")))</f>
        <v/>
      </c>
    </row>
    <row r="30" ht="46" customHeight="1">
      <c r="A30" s="16" t="inlineStr">
        <is>
          <t>GC-25</t>
        </is>
      </c>
      <c r="B30" s="17" t="inlineStr">
        <is>
          <t>たたき台</t>
        </is>
      </c>
      <c r="C30" s="18" t="inlineStr">
        <is>
          <t>⑤運営・仕組み</t>
        </is>
      </c>
      <c r="D30" s="17" t="inlineStr">
        <is>
          <t>全期間</t>
        </is>
      </c>
      <c r="E30" s="18" t="inlineStr">
        <is>
          <t>週3〜4回という開催頻度に対し、講師・メンターの準備工数が確保されていない</t>
        </is>
      </c>
      <c r="F30" s="18" t="inlineStr">
        <is>
          <t>開催回数ありきで設計され、1回あたりの投下工数が計算されていない</t>
        </is>
      </c>
      <c r="G30" s="18" t="inlineStr">
        <is>
          <t>1回の質が下がり、回数の多さがそのまま価値になっていない</t>
        </is>
      </c>
      <c r="H30" s="25" t="n"/>
      <c r="I30" s="25" t="n"/>
      <c r="J30" s="17">
        <f>IF(OR($H30="",$I30=""),"",$H30*$I30)</f>
        <v/>
      </c>
      <c r="K30" s="16">
        <f>IF($J30="","",IF($J30&gt;=6,"A",IF($J30&gt;=4,"B","C")))</f>
        <v/>
      </c>
    </row>
    <row r="31" ht="46" customHeight="1">
      <c r="A31" s="19" t="inlineStr">
        <is>
          <t>GC-26</t>
        </is>
      </c>
      <c r="B31" s="20" t="inlineStr">
        <is>
          <t>たたき台</t>
        </is>
      </c>
      <c r="C31" s="21" t="inlineStr">
        <is>
          <t>⑥環境・コミュニティ</t>
        </is>
      </c>
      <c r="D31" s="20" t="inlineStr">
        <is>
          <t>全期間</t>
        </is>
      </c>
      <c r="E31" s="21" t="inlineStr">
        <is>
          <t>同期・近いフェーズの受講生同士の横のつながりが弱い</t>
        </is>
      </c>
      <c r="F31" s="21" t="inlineStr">
        <is>
          <t>意図的に関係をつくる設計（グループ分け・相互報告）がない</t>
        </is>
      </c>
      <c r="G31" s="21" t="inlineStr">
        <is>
          <t>孤独感から離脱しやすく、相互に基準値を引き上げる効果が生まれない</t>
        </is>
      </c>
      <c r="H31" s="25" t="n"/>
      <c r="I31" s="25" t="n"/>
      <c r="J31" s="20">
        <f>IF(OR($H31="",$I31=""),"",$H31*$I31)</f>
        <v/>
      </c>
      <c r="K31" s="19">
        <f>IF($J31="","",IF($J31&gt;=6,"A",IF($J31&gt;=4,"B","C")))</f>
        <v/>
      </c>
    </row>
    <row r="32" ht="46" customHeight="1">
      <c r="A32" s="16" t="inlineStr">
        <is>
          <t>GC-27</t>
        </is>
      </c>
      <c r="B32" s="17" t="inlineStr">
        <is>
          <t>たたき台</t>
        </is>
      </c>
      <c r="C32" s="18" t="inlineStr">
        <is>
          <t>⑥環境・コミュニティ</t>
        </is>
      </c>
      <c r="D32" s="17" t="inlineStr">
        <is>
          <t>全期間</t>
        </is>
      </c>
      <c r="E32" s="18" t="inlineStr">
        <is>
          <t>STEP4〜6の先輩受講生と、STEP1〜2の新規受講生に接点がない</t>
        </is>
      </c>
      <c r="F32" s="18" t="inlineStr">
        <is>
          <t>フェーズを跨いで交わる場が用意されていない</t>
        </is>
      </c>
      <c r="G32" s="18" t="inlineStr">
        <is>
          <t>「半年後の自分」のロールモデルが見えず、目標が具体化しないままSTEP1〜2を過ごす</t>
        </is>
      </c>
      <c r="H32" s="25" t="n"/>
      <c r="I32" s="25" t="n"/>
      <c r="J32" s="17">
        <f>IF(OR($H32="",$I32=""),"",$H32*$I32)</f>
        <v/>
      </c>
      <c r="K32" s="16">
        <f>IF($J32="","",IF($J32&gt;=6,"A",IF($J32&gt;=4,"B","C")))</f>
        <v/>
      </c>
    </row>
    <row r="33" ht="46" customHeight="1">
      <c r="A33" s="19" t="inlineStr">
        <is>
          <t>GC-28</t>
        </is>
      </c>
      <c r="B33" s="20" t="inlineStr">
        <is>
          <t>たたき台</t>
        </is>
      </c>
      <c r="C33" s="21" t="inlineStr">
        <is>
          <t>⑥環境・コミュニティ</t>
        </is>
      </c>
      <c r="D33" s="20" t="inlineStr">
        <is>
          <t>全期間</t>
        </is>
      </c>
      <c r="E33" s="21" t="inlineStr">
        <is>
          <t>成果報告が全体に見える形で共有されていない</t>
        </is>
      </c>
      <c r="F33" s="21" t="inlineStr">
        <is>
          <t>報告の場とフォーマットがない</t>
        </is>
      </c>
      <c r="G33" s="21" t="inlineStr">
        <is>
          <t>成功事例が場の基準値を引き上げる効果を取りこぼしている。マインド変容の最も安価な手段を使えていない</t>
        </is>
      </c>
      <c r="H33" s="25" t="n"/>
      <c r="I33" s="25" t="n"/>
      <c r="J33" s="20">
        <f>IF(OR($H33="",$I33=""),"",$H33*$I33)</f>
        <v/>
      </c>
      <c r="K33" s="19">
        <f>IF($J33="","",IF($J33&gt;=6,"A",IF($J33&gt;=4,"B","C")))</f>
        <v/>
      </c>
    </row>
    <row r="34" ht="46" customHeight="1">
      <c r="A34" s="16" t="inlineStr">
        <is>
          <t>GC-29</t>
        </is>
      </c>
      <c r="B34" s="17" t="inlineStr">
        <is>
          <t>たたき台</t>
        </is>
      </c>
      <c r="C34" s="18" t="inlineStr">
        <is>
          <t>⑦データ・KPI</t>
        </is>
      </c>
      <c r="D34" s="17" t="inlineStr">
        <is>
          <t>全期間</t>
        </is>
      </c>
      <c r="E34" s="18" t="inlineStr">
        <is>
          <t>初提案までの日数・初受注までの日数が計測されていない</t>
        </is>
      </c>
      <c r="F34" s="18" t="inlineStr">
        <is>
          <t>指標の定義と記録の仕組みがない</t>
        </is>
      </c>
      <c r="G34" s="18" t="inlineStr">
        <is>
          <t>「早く成果を出す」という目標に対する進捗が判断できず、施策の効果測定もできない</t>
        </is>
      </c>
      <c r="H34" s="25" t="n"/>
      <c r="I34" s="25" t="n"/>
      <c r="J34" s="17">
        <f>IF(OR($H34="",$I34=""),"",$H34*$I34)</f>
        <v/>
      </c>
      <c r="K34" s="16">
        <f>IF($J34="","",IF($J34&gt;=6,"A",IF($J34&gt;=4,"B","C")))</f>
        <v/>
      </c>
    </row>
    <row r="35" ht="46" customHeight="1">
      <c r="A35" s="19" t="inlineStr">
        <is>
          <t>GC-30</t>
        </is>
      </c>
      <c r="B35" s="20" t="inlineStr">
        <is>
          <t>たたき台</t>
        </is>
      </c>
      <c r="C35" s="21" t="inlineStr">
        <is>
          <t>⑦データ・KPI</t>
        </is>
      </c>
      <c r="D35" s="20" t="inlineStr">
        <is>
          <t>全期間</t>
        </is>
      </c>
      <c r="E35" s="21" t="inlineStr">
        <is>
          <t>グルコン参加率・発言率・アクション実行率が記録されていない</t>
        </is>
      </c>
      <c r="F35" s="21" t="inlineStr">
        <is>
          <t>出席・発言・アクションを記録する運用がない</t>
        </is>
      </c>
      <c r="G35" s="21" t="inlineStr">
        <is>
          <t>停滞の予兆をデータで捉えられず、介入が常に事後対応になる</t>
        </is>
      </c>
      <c r="H35" s="25" t="n"/>
      <c r="I35" s="25" t="n"/>
      <c r="J35" s="20">
        <f>IF(OR($H35="",$I35=""),"",$H35*$I35)</f>
        <v/>
      </c>
      <c r="K35" s="19">
        <f>IF($J35="","",IF($J35&gt;=6,"A",IF($J35&gt;=4,"B","C")))</f>
        <v/>
      </c>
    </row>
    <row r="36" ht="46" customHeight="1">
      <c r="A36" s="16" t="inlineStr">
        <is>
          <t>GC-31</t>
        </is>
      </c>
      <c r="B36" s="17" t="inlineStr">
        <is>
          <t>たたき台</t>
        </is>
      </c>
      <c r="C36" s="18" t="inlineStr">
        <is>
          <t>⑦データ・KPI</t>
        </is>
      </c>
      <c r="D36" s="17" t="inlineStr">
        <is>
          <t>全期間</t>
        </is>
      </c>
      <c r="E36" s="18" t="inlineStr">
        <is>
          <t>コース別・入会月別の成果者率（3ヶ月以内の初受注率）が出せない</t>
        </is>
      </c>
      <c r="F36" s="18" t="inlineStr">
        <is>
          <t>成果の記録が個別のメモやチャットに散在している</t>
        </is>
      </c>
      <c r="G36" s="18" t="inlineStr">
        <is>
          <t>6ヶ月のどのフェーズで最も落ちているかを特定できず、改善の打ち所が決められない</t>
        </is>
      </c>
      <c r="H36" s="25" t="n"/>
      <c r="I36" s="25" t="n"/>
      <c r="J36" s="17">
        <f>IF(OR($H36="",$I36=""),"",$H36*$I36)</f>
        <v/>
      </c>
      <c r="K36" s="16">
        <f>IF($J36="","",IF($J36&gt;=6,"A",IF($J36&gt;=4,"B","C")))</f>
        <v/>
      </c>
    </row>
  </sheetData>
  <autoFilter ref="A5:K36"/>
  <mergeCells count="3">
    <mergeCell ref="A2:K2"/>
    <mergeCell ref="A1:K1"/>
    <mergeCell ref="A3:K3"/>
  </mergeCells>
  <dataValidations count="1">
    <dataValidation sqref="H6:I36" showDropDown="0" showInputMessage="0" showErrorMessage="0" allowBlank="1" type="list">
      <formula1>"3,2,1"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30" customWidth="1" min="4" max="4"/>
    <col width="30" customWidth="1" min="5" max="5"/>
    <col width="42" customWidth="1" min="6" max="6"/>
    <col width="14" customWidth="1" min="7" max="7"/>
    <col width="16" customWidth="1" min="8" max="8"/>
    <col width="26" customWidth="1" min="9" max="9"/>
    <col width="42" customWidth="1" min="10" max="10"/>
    <col width="13" customWidth="1" min="11" max="11"/>
    <col width="34" customWidth="1" min="12" max="12"/>
    <col width="12" customWidth="1" min="13" max="13"/>
    <col width="14" customWidth="1" min="14" max="14"/>
  </cols>
  <sheetData>
    <row r="1" ht="30" customHeight="1">
      <c r="A1" s="1" t="inlineStr">
        <is>
          <t>グルコン アクションプラン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5" t="n"/>
    </row>
    <row r="2" ht="20" customHeight="1">
      <c r="A2" s="14" t="inlineStr">
        <is>
          <t>1行につき1アクション。「いつ・誰が・何を・どのように」を具体的に記入してください。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5" t="n"/>
    </row>
    <row r="3">
      <c r="A3" s="7" t="inlineStr">
        <is>
          <t>着手日</t>
        </is>
      </c>
      <c r="B3" s="39" t="n">
        <v>46266</v>
      </c>
      <c r="C3" s="35" t="n"/>
      <c r="D3" s="14" t="inlineStr">
        <is>
          <t>← 黄色セルに着手日を入れると、K列「期限」がN列の日数をもとに自動計算されます。担当者・ステータスは記入欄です。</t>
        </is>
      </c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5" t="n"/>
    </row>
    <row r="5" ht="34" customHeight="1">
      <c r="A5" s="15" t="inlineStr">
        <is>
          <t>No.</t>
        </is>
      </c>
      <c r="B5" s="15" t="inlineStr">
        <is>
          <t>課題ID</t>
        </is>
      </c>
      <c r="C5" s="15" t="inlineStr">
        <is>
          <t>課題</t>
        </is>
      </c>
      <c r="D5" s="15" t="inlineStr">
        <is>
          <t>原因</t>
        </is>
      </c>
      <c r="E5" s="15" t="inlineStr">
        <is>
          <t>取り組みアクション</t>
        </is>
      </c>
      <c r="F5" s="15" t="inlineStr">
        <is>
          <t>詳細</t>
        </is>
      </c>
      <c r="G5" s="15" t="inlineStr">
        <is>
          <t>いつ
(短期・中期・長期)</t>
        </is>
      </c>
      <c r="H5" s="15" t="inlineStr">
        <is>
          <t>誰が
(担当者)</t>
        </is>
      </c>
      <c r="I5" s="15" t="inlineStr">
        <is>
          <t>何を
(対象・成果物)</t>
        </is>
      </c>
      <c r="J5" s="15" t="inlineStr">
        <is>
          <t>どのように
(方法・手順)</t>
        </is>
      </c>
      <c r="K5" s="15" t="inlineStr">
        <is>
          <t>期限
(日付)</t>
        </is>
      </c>
      <c r="L5" s="15" t="inlineStr">
        <is>
          <t>完了条件
(ゴール)</t>
        </is>
      </c>
      <c r="M5" s="15" t="inlineStr">
        <is>
          <t>ステータス</t>
        </is>
      </c>
      <c r="N5" s="15" t="inlineStr">
        <is>
          <t>着手からの日数
※K列の算出用</t>
        </is>
      </c>
    </row>
    <row r="6" ht="74" customHeight="1">
      <c r="A6" s="16" t="n">
        <v>1</v>
      </c>
      <c r="B6" s="17" t="inlineStr">
        <is>
          <t>GC-03</t>
        </is>
      </c>
      <c r="C6" s="18" t="inlineStr">
        <is>
          <t>1ヶ月目に営業に触れる回がなく、営業開始が2ヶ月目後半までずれ込む</t>
        </is>
      </c>
      <c r="D6" s="18" t="inlineStr">
        <is>
          <t>カリキュラムの構成をそのままグルコンの構成に流用している</t>
        </is>
      </c>
      <c r="E6" s="18" t="inlineStr">
        <is>
          <t>営業開始の前倒し：STEP1と並行して「営業の器づくり」を完了させる</t>
        </is>
      </c>
      <c r="F6" s="18" t="inlineStr">
        <is>
          <t>STEP1の期間中に、クラウドソーシング／Wantedlyのアカウント開設・プロフィール下書き・ポートフォリオ3点までを終わらせ、STEP2の第1週に初提案を送る導線に組み替える。グルコンにも1ヶ月目から営業回を1枠入れる。</t>
        </is>
      </c>
      <c r="G6" s="17" t="inlineStr">
        <is>
          <t>短期</t>
        </is>
      </c>
      <c r="H6" s="18" t="inlineStr">
        <is>
          <t>グルコン統括／カリキュラム担当</t>
        </is>
      </c>
      <c r="I6" s="18" t="inlineStr">
        <is>
          <t>改訂版ステップ表・STEP1向け営業準備チェックリスト</t>
        </is>
      </c>
      <c r="J6" s="18" t="inlineStr">
        <is>
          <t>①現行STEP1〜2の到達点を棚卸し ②前倒し可能な項目を特定 ③チェックリスト化 ④グルコン枠に営業回を追加 ⑤次期入会者から適用</t>
        </is>
      </c>
      <c r="K6" s="40">
        <f>IF(OR($B$3="",$N6=""),"",$B$3+$N6)</f>
        <v/>
      </c>
      <c r="L6" s="18" t="inlineStr">
        <is>
          <t>入会60日以内に初提案を送った受講生の割合が80%以上</t>
        </is>
      </c>
      <c r="M6" s="25" t="inlineStr">
        <is>
          <t>未着手</t>
        </is>
      </c>
      <c r="N6" s="25" t="n">
        <v>45</v>
      </c>
    </row>
    <row r="7" ht="74" customHeight="1">
      <c r="A7" s="19" t="n">
        <v>2</v>
      </c>
      <c r="B7" s="20" t="inlineStr">
        <is>
          <t>GC-01</t>
        </is>
      </c>
      <c r="C7" s="21" t="inlineStr">
        <is>
          <t>各回にテーマがなく、毎回「質問がある人？」形式になっている</t>
        </is>
      </c>
      <c r="D7" s="21" t="inlineStr">
        <is>
          <t>回ごとの目的・アジェンダが定義されていない</t>
        </is>
      </c>
      <c r="E7" s="21" t="inlineStr">
        <is>
          <t>グルコンのテーマ制への移行（曜日ごとに固定テーマを設定）</t>
        </is>
      </c>
      <c r="F7" s="21" t="inlineStr">
        <is>
          <t>週3〜4回の各回に固定テーマを割り当てる（例：月＝課題添削会／水＝営業実践会／金＝数値開示・成果報告会）。前週末までに翌週の議題を告知する。</t>
        </is>
      </c>
      <c r="G7" s="20" t="inlineStr">
        <is>
          <t>短期</t>
        </is>
      </c>
      <c r="H7" s="21" t="inlineStr">
        <is>
          <t>グルコン統括</t>
        </is>
      </c>
      <c r="I7" s="21" t="inlineStr">
        <is>
          <t>年間テーマ表・週次告知テンプレート</t>
        </is>
      </c>
      <c r="J7" s="21" t="inlineStr">
        <is>
          <t>①全開催回の内容を棚卸し ②テーマを割当 ③告知フォーマット作成 ④講師へ共有 ⑤翌月から運用開始</t>
        </is>
      </c>
      <c r="K7" s="41">
        <f>IF(OR($B$3="",$N7=""),"",$B$3+$N7)</f>
        <v/>
      </c>
      <c r="L7" s="21" t="inlineStr">
        <is>
          <t>全開催回にテーマが設定され、前週末までの告知が4週連続で実施されている</t>
        </is>
      </c>
      <c r="M7" s="25" t="inlineStr">
        <is>
          <t>未着手</t>
        </is>
      </c>
      <c r="N7" s="25" t="n">
        <v>30</v>
      </c>
    </row>
    <row r="8" ht="74" customHeight="1">
      <c r="A8" s="16" t="n">
        <v>3</v>
      </c>
      <c r="B8" s="17" t="inlineStr">
        <is>
          <t>GC-02</t>
        </is>
      </c>
      <c r="C8" s="18" t="inlineStr">
        <is>
          <t>全STEPの受講生が同じ回に混在し、内容がどのフェーズにも最適化されていない</t>
        </is>
      </c>
      <c r="D8" s="18" t="inlineStr">
        <is>
          <t>フェーズ別の開催枠がない</t>
        </is>
      </c>
      <c r="E8" s="18" t="inlineStr">
        <is>
          <t>フェーズ別グルコン枠の新設（STEP1-2／STEP3-4／STEP5以降）</t>
        </is>
      </c>
      <c r="F8" s="18" t="inlineStr">
        <is>
          <t>現行枠を3系統に分割。STEP1-2は作業・添削中心、STEP3-4は営業数値と受注実務、STEP5以降は単価UPと自走。受講生は自分のフェーズの枠に必ず参加し、他枠は自由参加とする。</t>
        </is>
      </c>
      <c r="G8" s="17" t="inlineStr">
        <is>
          <t>中期</t>
        </is>
      </c>
      <c r="H8" s="18" t="inlineStr">
        <is>
          <t>グルコン統括／CSリーダー</t>
        </is>
      </c>
      <c r="I8" s="18" t="inlineStr">
        <is>
          <t>フェーズ別グルコン運営設計書・開催カレンダー</t>
        </is>
      </c>
      <c r="J8" s="18" t="inlineStr">
        <is>
          <t>①在籍者のフェーズ分布を集計 ②枠数と時間帯を設計 ③講師アサイン ④受講生へ告知 ⑤1ヶ月試行後にレビュー</t>
        </is>
      </c>
      <c r="K8" s="40">
        <f>IF(OR($B$3="",$N8=""),"",$B$3+$N8)</f>
        <v/>
      </c>
      <c r="L8" s="18" t="inlineStr">
        <is>
          <t>3枠体制で1ヶ月運用し、各枠の参加率が70%以上</t>
        </is>
      </c>
      <c r="M8" s="25" t="inlineStr">
        <is>
          <t>未着手</t>
        </is>
      </c>
      <c r="N8" s="25" t="n">
        <v>75</v>
      </c>
    </row>
    <row r="9" ht="74" customHeight="1">
      <c r="A9" s="19" t="n">
        <v>4</v>
      </c>
      <c r="B9" s="20" t="inlineStr">
        <is>
          <t>GC-08</t>
        </is>
      </c>
      <c r="C9" s="21" t="inlineStr">
        <is>
          <t>グルコン終了時に、次の1週間のアクションが確定していない</t>
        </is>
      </c>
      <c r="D9" s="21" t="inlineStr">
        <is>
          <t>アクションを決めて終わる型がない</t>
        </is>
      </c>
      <c r="E9" s="21" t="inlineStr">
        <is>
          <t>終了前5分の「次の1週間アクション宣言」を全回で必須化</t>
        </is>
      </c>
      <c r="F9" s="21" t="inlineStr">
        <is>
          <t>終了5分前に、参加者全員が「いつまでに・何をするか」をチャットに記入。記録シートに蓄積し、翌週冒頭で実行有無を確認する。実行できなかった人はその場で原因を1つ特定する。</t>
        </is>
      </c>
      <c r="G9" s="20" t="inlineStr">
        <is>
          <t>短期</t>
        </is>
      </c>
      <c r="H9" s="21" t="inlineStr">
        <is>
          <t>グルコン担当講師</t>
        </is>
      </c>
      <c r="I9" s="21" t="inlineStr">
        <is>
          <t>アクション宣言記録シート・進行台本への組み込み</t>
        </is>
      </c>
      <c r="J9" s="21" t="inlineStr">
        <is>
          <t>①記録シート作成 ②進行台本に組み込み ③講師へ周知 ④翌週の冒頭確認をルール化 ⑤月次で実行率を集計</t>
        </is>
      </c>
      <c r="K9" s="41">
        <f>IF(OR($B$3="",$N9=""),"",$B$3+$N9)</f>
        <v/>
      </c>
      <c r="L9" s="21" t="inlineStr">
        <is>
          <t>全開催回でアクション記録が残り、アクション実行率が月次で集計できている</t>
        </is>
      </c>
      <c r="M9" s="25" t="inlineStr">
        <is>
          <t>未着手</t>
        </is>
      </c>
      <c r="N9" s="25" t="n">
        <v>30</v>
      </c>
    </row>
    <row r="10" ht="74" customHeight="1">
      <c r="A10" s="16" t="n">
        <v>5</v>
      </c>
      <c r="B10" s="17" t="inlineStr">
        <is>
          <t>GC-04</t>
        </is>
      </c>
      <c r="C10" s="18" t="inlineStr">
        <is>
          <t>営業フェーズで、実物をその場で直す時間が確保されていない</t>
        </is>
      </c>
      <c r="D10" s="18" t="inlineStr">
        <is>
          <t>説明と質疑応答が中心の構成</t>
        </is>
      </c>
      <c r="E10" s="18" t="inlineStr">
        <is>
          <t>営業回を「その場で直して送るまで」のワーク型に変更</t>
        </is>
      </c>
      <c r="F10" s="18" t="inlineStr">
        <is>
          <t>プロフィール・提案文を画面共有し、その場で修正。解散前に提案送信または修正完了までを終わらせる。講師は説明3割・添削7割の時間配分にする。</t>
        </is>
      </c>
      <c r="G10" s="17" t="inlineStr">
        <is>
          <t>短期</t>
        </is>
      </c>
      <c r="H10" s="18" t="inlineStr">
        <is>
          <t>営業担当講師／営業メンター</t>
        </is>
      </c>
      <c r="I10" s="18" t="inlineStr">
        <is>
          <t>営業ワーク回の進行台本・添削チェックリスト</t>
        </is>
      </c>
      <c r="J10" s="18" t="inlineStr">
        <is>
          <t>①添削観点をチェックリスト化 ②進行台本作成 ③2回試行 ④参加者アンケートで調整 ⑤定例化</t>
        </is>
      </c>
      <c r="K10" s="40">
        <f>IF(OR($B$3="",$N10=""),"",$B$3+$N10)</f>
        <v/>
      </c>
      <c r="L10" s="18" t="inlineStr">
        <is>
          <t>実施回ごとに、参加者の70%以上がその場で提案送信または修正完了に到達</t>
        </is>
      </c>
      <c r="M10" s="25" t="inlineStr">
        <is>
          <t>未着手</t>
        </is>
      </c>
      <c r="N10" s="25" t="n">
        <v>30</v>
      </c>
    </row>
    <row r="11" ht="74" customHeight="1">
      <c r="A11" s="19" t="n">
        <v>6</v>
      </c>
      <c r="B11" s="20" t="inlineStr">
        <is>
          <t>GC-19</t>
        </is>
      </c>
      <c r="C11" s="21" t="inlineStr">
        <is>
          <t>停滞者の検知が担当メンターの感覚に依存し、基準が統一されていない</t>
        </is>
      </c>
      <c r="D11" s="21" t="inlineStr">
        <is>
          <t>「停滞」の定義がない</t>
        </is>
      </c>
      <c r="E11" s="21" t="inlineStr">
        <is>
          <t>停滞の定義とアラート基準の設定、24時間以内の接触ルール化</t>
        </is>
      </c>
      <c r="F11" s="21" t="inlineStr">
        <is>
          <t>アラート条件を定義（日報3日連続未提出／グルコン2回連続欠席／提案0件が2週間継続／課題進捗が1週間停止）。該当時は担当メンターが24時間以内に接触し、対応内容を記録する。</t>
        </is>
      </c>
      <c r="G11" s="20" t="inlineStr">
        <is>
          <t>短期</t>
        </is>
      </c>
      <c r="H11" s="21" t="inlineStr">
        <is>
          <t>CSリーダー</t>
        </is>
      </c>
      <c r="I11" s="21" t="inlineStr">
        <is>
          <t>停滞アラート基準書・アラート記録シート</t>
        </is>
      </c>
      <c r="J11" s="21" t="inlineStr">
        <is>
          <t>①過去の離脱者の直前1ヶ月の挙動を分析 ②閾値を決定 ③検知運用を整備 ④メンターへ周知 ⑤発報から接触までの時間を月次で集計</t>
        </is>
      </c>
      <c r="K11" s="41">
        <f>IF(OR($B$3="",$N11=""),"",$B$3+$N11)</f>
        <v/>
      </c>
      <c r="L11" s="21" t="inlineStr">
        <is>
          <t>アラート条件が運用され、発報から接触までの平均時間が24時間以内</t>
        </is>
      </c>
      <c r="M11" s="25" t="inlineStr">
        <is>
          <t>未着手</t>
        </is>
      </c>
      <c r="N11" s="25" t="n">
        <v>45</v>
      </c>
    </row>
    <row r="12" ht="74" customHeight="1">
      <c r="A12" s="16" t="n">
        <v>7</v>
      </c>
      <c r="B12" s="17" t="inlineStr">
        <is>
          <t>GC-17</t>
        </is>
      </c>
      <c r="C12" s="18" t="inlineStr">
        <is>
          <t>グルコンで決めたアクションが1on1でフォローされていない</t>
        </is>
      </c>
      <c r="D12" s="18" t="inlineStr">
        <is>
          <t>グルコンと1on1の間で情報の受け渡しがない</t>
        </is>
      </c>
      <c r="E12" s="18" t="inlineStr">
        <is>
          <t>グルコン→1on1→日報 の連携ルールを定義</t>
        </is>
      </c>
      <c r="F12" s="18" t="inlineStr">
        <is>
          <t>グルコンで宣言したアクションを1on1の冒頭で必ず確認する。日報に「今週のアクション」欄を追加し、宣言と実績が同じ場所に並ぶようにする。</t>
        </is>
      </c>
      <c r="G12" s="17" t="inlineStr">
        <is>
          <t>短期</t>
        </is>
      </c>
      <c r="H12" s="18" t="inlineStr">
        <is>
          <t>CSリーダー／メンター全員</t>
        </is>
      </c>
      <c r="I12" s="18" t="inlineStr">
        <is>
          <t>1on1テンプレート改訂版・日報フォーマット改訂版</t>
        </is>
      </c>
      <c r="J12" s="18" t="inlineStr">
        <is>
          <t>①日報フォーマットに欄を追加 ②1on1テンプレの冒頭に確認項目を追加 ③メンターへ周知 ④1ヶ月後に記録率をレビュー</t>
        </is>
      </c>
      <c r="K12" s="40">
        <f>IF(OR($B$3="",$N12=""),"",$B$3+$N12)</f>
        <v/>
      </c>
      <c r="L12" s="18" t="inlineStr">
        <is>
          <t>1on1メモに前回アクションの実行有無が記録されている割合が90%以上</t>
        </is>
      </c>
      <c r="M12" s="25" t="inlineStr">
        <is>
          <t>未着手</t>
        </is>
      </c>
      <c r="N12" s="25" t="n">
        <v>30</v>
      </c>
    </row>
    <row r="13" ht="74" customHeight="1">
      <c r="A13" s="19" t="n">
        <v>8</v>
      </c>
      <c r="B13" s="20" t="inlineStr">
        <is>
          <t>GC-15</t>
        </is>
      </c>
      <c r="C13" s="21" t="inlineStr">
        <is>
          <t>他の受講生の提案数・成果が見えず、基準値が上がらない</t>
        </is>
      </c>
      <c r="D13" s="21" t="inlineStr">
        <is>
          <t>数値を開示し合う場がない</t>
        </is>
      </c>
      <c r="E13" s="21" t="inlineStr">
        <is>
          <t>週1回の「数値開示・不採用解剖会」を新設</t>
        </is>
      </c>
      <c r="F13" s="21" t="inlineStr">
        <is>
          <t>参加者全員が今週の提案数・返信数・受注数を開示する。あわせて落ちた提案を1件取り上げ、原因を全員で分解し改善案をその場で作る。</t>
        </is>
      </c>
      <c r="G13" s="20" t="inlineStr">
        <is>
          <t>短期</t>
        </is>
      </c>
      <c r="H13" s="21" t="inlineStr">
        <is>
          <t>営業担当講師</t>
        </is>
      </c>
      <c r="I13" s="21" t="inlineStr">
        <is>
          <t>数値開示フォーマット・不採用解剖の型</t>
        </is>
      </c>
      <c r="J13" s="21" t="inlineStr">
        <is>
          <t>①開示フォーマット作成 ②解剖の進行手順を作成 ③週次で定例化 ④月次で平均提案数の推移を確認</t>
        </is>
      </c>
      <c r="K13" s="41">
        <f>IF(OR($B$3="",$N13=""),"",$B$3+$N13)</f>
        <v/>
      </c>
      <c r="L13" s="21" t="inlineStr">
        <is>
          <t>月4回実施され、参加者の平均提案数が前月比120%以上</t>
        </is>
      </c>
      <c r="M13" s="25" t="inlineStr">
        <is>
          <t>未着手</t>
        </is>
      </c>
      <c r="N13" s="25" t="n">
        <v>30</v>
      </c>
    </row>
    <row r="14" ht="74" customHeight="1">
      <c r="A14" s="16" t="n">
        <v>9</v>
      </c>
      <c r="B14" s="17" t="inlineStr">
        <is>
          <t>GC-14</t>
        </is>
      </c>
      <c r="C14" s="18" t="inlineStr">
        <is>
          <t>完璧主義でポートフォリオが完成せず営業に進めない</t>
        </is>
      </c>
      <c r="D14" s="18" t="inlineStr">
        <is>
          <t>営業を開始してよい基準が示されていない</t>
        </is>
      </c>
      <c r="E14" s="18" t="inlineStr">
        <is>
          <t>「営業開始基準」の明文化と、基準到達での強制移行</t>
        </is>
      </c>
      <c r="F14" s="18" t="inlineStr">
        <is>
          <t>何が何点そろえば営業を始めてよいかを定義（例：バナー2点＋スライド1点＋プロフィール完成）。基準に到達した時点で営業フェーズへ移行させ、完璧を待たせない。</t>
        </is>
      </c>
      <c r="G14" s="17" t="inlineStr">
        <is>
          <t>短期</t>
        </is>
      </c>
      <c r="H14" s="18" t="inlineStr">
        <is>
          <t>カリキュラム担当／営業メンター</t>
        </is>
      </c>
      <c r="I14" s="18" t="inlineStr">
        <is>
          <t>営業開始基準シート</t>
        </is>
      </c>
      <c r="J14" s="18" t="inlineStr">
        <is>
          <t>①過去の受注者が営業開始時点で持っていた実績を調査 ②最低基準を決定 ③受講生へ公開 ④STEP2開始時に到達状況を確認</t>
        </is>
      </c>
      <c r="K14" s="40">
        <f>IF(OR($B$3="",$N14=""),"",$B$3+$N14)</f>
        <v/>
      </c>
      <c r="L14" s="18" t="inlineStr">
        <is>
          <t>基準が公開され、STEP2開始時点での基準到達率が80%以上</t>
        </is>
      </c>
      <c r="M14" s="25" t="inlineStr">
        <is>
          <t>未着手</t>
        </is>
      </c>
      <c r="N14" s="25" t="n">
        <v>45</v>
      </c>
    </row>
    <row r="15" ht="74" customHeight="1">
      <c r="A15" s="19" t="n">
        <v>10</v>
      </c>
      <c r="B15" s="20" t="inlineStr">
        <is>
          <t>GC-13</t>
        </is>
      </c>
      <c r="C15" s="21" t="inlineStr">
        <is>
          <t>質問を準備せずに参加するため、抽象的な質問しか出ない</t>
        </is>
      </c>
      <c r="D15" s="21" t="inlineStr">
        <is>
          <t>事前に議題を提出するフローがない</t>
        </is>
      </c>
      <c r="E15" s="21" t="inlineStr">
        <is>
          <t>事前議題提出フローの導入</t>
        </is>
      </c>
      <c r="F15" s="21" t="inlineStr">
        <is>
          <t>開催24時間前までにフォームで議題を提出。提出者の議題を優先的に扱う。未提出者にも当日必ず1回は指名して発言機会をつくる。</t>
        </is>
      </c>
      <c r="G15" s="20" t="inlineStr">
        <is>
          <t>短期</t>
        </is>
      </c>
      <c r="H15" s="21" t="inlineStr">
        <is>
          <t>グルコン統括</t>
        </is>
      </c>
      <c r="I15" s="21" t="inlineStr">
        <is>
          <t>議題提出フォーム・議題一覧の運用</t>
        </is>
      </c>
      <c r="J15" s="21" t="inlineStr">
        <is>
          <t>①フォーム作成 ②提出期限と優先ルールを告知 ③講師が事前に議題を確認する運用 ④提出率を月次で確認</t>
        </is>
      </c>
      <c r="K15" s="41">
        <f>IF(OR($B$3="",$N15=""),"",$B$3+$N15)</f>
        <v/>
      </c>
      <c r="L15" s="21" t="inlineStr">
        <is>
          <t>参加者の議題提出率が60%以上</t>
        </is>
      </c>
      <c r="M15" s="25" t="inlineStr">
        <is>
          <t>未着手</t>
        </is>
      </c>
      <c r="N15" s="25" t="n">
        <v>30</v>
      </c>
    </row>
    <row r="16" ht="74" customHeight="1">
      <c r="A16" s="16" t="n">
        <v>11</v>
      </c>
      <c r="B16" s="17" t="inlineStr">
        <is>
          <t>GC-10</t>
        </is>
      </c>
      <c r="C16" s="18" t="inlineStr">
        <is>
          <t>講師が受講生の進捗を見ないままグルコンに入っている</t>
        </is>
      </c>
      <c r="D16" s="18" t="inlineStr">
        <is>
          <t>事前に見られる形でデータが集約されていない</t>
        </is>
      </c>
      <c r="E16" s="18" t="inlineStr">
        <is>
          <t>グルコン前チェック用ダッシュボードの整備</t>
        </is>
      </c>
      <c r="F16" s="18" t="inlineStr">
        <is>
          <t>日報提出状況／課題進捗／提案数／直近の詰まり を1画面で見られるようにする。講師は開始前にダッシュボードを見て、当日指名する停滞者を3名ピックアップする。</t>
        </is>
      </c>
      <c r="G16" s="17" t="inlineStr">
        <is>
          <t>中期</t>
        </is>
      </c>
      <c r="H16" s="18" t="inlineStr">
        <is>
          <t>CSリーダー／運営</t>
        </is>
      </c>
      <c r="I16" s="18" t="inlineStr">
        <is>
          <t>受講生進捗ダッシュボード</t>
        </is>
      </c>
      <c r="J16" s="18" t="inlineStr">
        <is>
          <t>①必要項目を定義 ②既存データの所在を整理 ③シート／ツールに集約 ④講師の事前確認を運用ルール化</t>
        </is>
      </c>
      <c r="K16" s="40">
        <f>IF(OR($B$3="",$N16=""),"",$B$3+$N16)</f>
        <v/>
      </c>
      <c r="L16" s="18" t="inlineStr">
        <is>
          <t>全講師が開催前にダッシュボードを確認し、停滞者への指名対応が記録されている</t>
        </is>
      </c>
      <c r="M16" s="25" t="inlineStr">
        <is>
          <t>未着手</t>
        </is>
      </c>
      <c r="N16" s="25" t="n">
        <v>75</v>
      </c>
    </row>
    <row r="17" ht="74" customHeight="1">
      <c r="A17" s="19" t="n">
        <v>12</v>
      </c>
      <c r="B17" s="20" t="inlineStr">
        <is>
          <t>GC-29</t>
        </is>
      </c>
      <c r="C17" s="21" t="inlineStr">
        <is>
          <t>初提案までの日数・初受注までの日数が計測されていない</t>
        </is>
      </c>
      <c r="D17" s="21" t="inlineStr">
        <is>
          <t>指標の定義と記録の仕組みがない</t>
        </is>
      </c>
      <c r="E17" s="21" t="inlineStr">
        <is>
          <t>主要KPIの定義と計測開始</t>
        </is>
      </c>
      <c r="F17" s="21" t="inlineStr">
        <is>
          <t>「KPI定義」シートの指標を確定し、記録の担当者と更新頻度を決めて計測を開始する。コース別・入会月別のコホートで見られる形にする。</t>
        </is>
      </c>
      <c r="G17" s="20" t="inlineStr">
        <is>
          <t>短期</t>
        </is>
      </c>
      <c r="H17" s="21" t="inlineStr">
        <is>
          <t>運営／CSリーダー</t>
        </is>
      </c>
      <c r="I17" s="21" t="inlineStr">
        <is>
          <t>KPI定義書・KPI記録シート</t>
        </is>
      </c>
      <c r="J17" s="21" t="inlineStr">
        <is>
          <t>①指標を確定 ②記録元と担当者を決定 ③記録開始 ④月次でダッシュボード更新 ⑤3ヶ月後に基準値を設定</t>
        </is>
      </c>
      <c r="K17" s="41">
        <f>IF(OR($B$3="",$N17=""),"",$B$3+$N17)</f>
        <v/>
      </c>
      <c r="L17" s="21" t="inlineStr">
        <is>
          <t>月次でKPIが更新され、コース別・入会月別に集計できる状態</t>
        </is>
      </c>
      <c r="M17" s="25" t="inlineStr">
        <is>
          <t>未着手</t>
        </is>
      </c>
      <c r="N17" s="25" t="n">
        <v>30</v>
      </c>
    </row>
    <row r="18" ht="74" customHeight="1">
      <c r="A18" s="16" t="n">
        <v>13</v>
      </c>
      <c r="B18" s="17" t="inlineStr">
        <is>
          <t>GC-16</t>
        </is>
      </c>
      <c r="C18" s="18" t="inlineStr">
        <is>
          <t>不採用が個人の中で閉じ、心が折れて営業が止まる</t>
        </is>
      </c>
      <c r="D18" s="18" t="inlineStr">
        <is>
          <t>不採用を共有し原因を解剖する場がない</t>
        </is>
      </c>
      <c r="E18" s="18" t="inlineStr">
        <is>
          <t>STEP3向けの伴走強化（不採用時の即時フォロー）</t>
        </is>
      </c>
      <c r="F18" s="18" t="inlineStr">
        <is>
          <t>提案が10件連続で不採用になった時点でメンターが必ず面談し、提案文と応募先の選定を一緒に見直す。不採用は本人の資質ではなく改善対象であることを明示する。</t>
        </is>
      </c>
      <c r="G18" s="17" t="inlineStr">
        <is>
          <t>短期</t>
        </is>
      </c>
      <c r="H18" s="18" t="inlineStr">
        <is>
          <t>営業メンター</t>
        </is>
      </c>
      <c r="I18" s="18" t="inlineStr">
        <is>
          <t>不採用時フォローの手順書</t>
        </is>
      </c>
      <c r="J18" s="18" t="inlineStr">
        <is>
          <t>①発火条件を定義 ②面談の型を作成 ③メンターへ周知 ④STEP3の離脱率を前後で比較</t>
        </is>
      </c>
      <c r="K18" s="40">
        <f>IF(OR($B$3="",$N18=""),"",$B$3+$N18)</f>
        <v/>
      </c>
      <c r="L18" s="18" t="inlineStr">
        <is>
          <t>条件該当者への面談実施率100%、STEP3での離脱率が前四半期比で低下</t>
        </is>
      </c>
      <c r="M18" s="25" t="inlineStr">
        <is>
          <t>未着手</t>
        </is>
      </c>
      <c r="N18" s="25" t="n">
        <v>45</v>
      </c>
    </row>
    <row r="19" ht="74" customHeight="1">
      <c r="A19" s="19" t="n">
        <v>14</v>
      </c>
      <c r="B19" s="20" t="inlineStr">
        <is>
          <t>GC-07</t>
        </is>
      </c>
      <c r="C19" s="21" t="inlineStr">
        <is>
          <t>講師によって進行・回答の質にばらつきがある</t>
        </is>
      </c>
      <c r="D19" s="21" t="inlineStr">
        <is>
          <t>進行マニュアルや回答基準が言語化されていない</t>
        </is>
      </c>
      <c r="E19" s="21" t="inlineStr">
        <is>
          <t>グルコン進行マニュアル（標準アジェンダ）の作成と講師研修</t>
        </is>
      </c>
      <c r="F19" s="21" t="inlineStr">
        <is>
          <t>標準アジェンダ（冒頭の前週アクション確認→本テーマ→個別対応→アクション宣言）を定義し、マニュアル化。全講師が1回はマニュアル準拠で実施し、相互レビューを行う。</t>
        </is>
      </c>
      <c r="G19" s="20" t="inlineStr">
        <is>
          <t>中期</t>
        </is>
      </c>
      <c r="H19" s="21" t="inlineStr">
        <is>
          <t>グルコン統括</t>
        </is>
      </c>
      <c r="I19" s="21" t="inlineStr">
        <is>
          <t>グルコン進行マニュアル・研修実施記録</t>
        </is>
      </c>
      <c r="J19" s="21" t="inlineStr">
        <is>
          <t>①成果が出ている回の進行を分解 ②標準アジェンダを策定 ③マニュアル化 ④研修実施 ⑤相互レビュー</t>
        </is>
      </c>
      <c r="K19" s="41">
        <f>IF(OR($B$3="",$N19=""),"",$B$3+$N19)</f>
        <v/>
      </c>
      <c r="L19" s="21" t="inlineStr">
        <is>
          <t>マニュアルが配布され、全講師がマニュアル準拠での実施とレビューを完了</t>
        </is>
      </c>
      <c r="M19" s="25" t="inlineStr">
        <is>
          <t>未着手</t>
        </is>
      </c>
      <c r="N19" s="25" t="n">
        <v>75</v>
      </c>
    </row>
    <row r="20" ht="74" customHeight="1">
      <c r="A20" s="16" t="n">
        <v>15</v>
      </c>
      <c r="B20" s="17" t="inlineStr">
        <is>
          <t>GC-28</t>
        </is>
      </c>
      <c r="C20" s="18" t="inlineStr">
        <is>
          <t>成果報告が全体に見える形で共有されていない</t>
        </is>
      </c>
      <c r="D20" s="18" t="inlineStr">
        <is>
          <t>報告の場とフォーマットがない</t>
        </is>
      </c>
      <c r="E20" s="18" t="inlineStr">
        <is>
          <t>成果報告の定型フォーマット化と全体共有導線の整備</t>
        </is>
      </c>
      <c r="F20" s="18" t="inlineStr">
        <is>
          <t>受注時に「案件内容・単価・提案数・かかった期間・詰まった点」を定型で報告してもらい、週次で全体に共有する。数字を必ず含めることで基準値の共有につなげる。</t>
        </is>
      </c>
      <c r="G20" s="17" t="inlineStr">
        <is>
          <t>短期</t>
        </is>
      </c>
      <c r="H20" s="18" t="inlineStr">
        <is>
          <t>CSリーダー</t>
        </is>
      </c>
      <c r="I20" s="18" t="inlineStr">
        <is>
          <t>成果報告フォーマット・週次共有の運用</t>
        </is>
      </c>
      <c r="J20" s="18" t="inlineStr">
        <is>
          <t>①フォーマット作成 ②受注時の報告フローに組み込み ③週次で全体共有 ④アーカイブ化</t>
        </is>
      </c>
      <c r="K20" s="40">
        <f>IF(OR($B$3="",$N20=""),"",$B$3+$N20)</f>
        <v/>
      </c>
      <c r="L20" s="18" t="inlineStr">
        <is>
          <t>成果報告が週次で全体に共有される状態が4週連続で継続</t>
        </is>
      </c>
      <c r="M20" s="25" t="inlineStr">
        <is>
          <t>未着手</t>
        </is>
      </c>
      <c r="N20" s="25" t="n">
        <v>30</v>
      </c>
    </row>
    <row r="21" ht="74" customHeight="1">
      <c r="A21" s="19" t="n">
        <v>16</v>
      </c>
      <c r="B21" s="20" t="inlineStr">
        <is>
          <t>GC-27</t>
        </is>
      </c>
      <c r="C21" s="21" t="inlineStr">
        <is>
          <t>先輩受講生と新規受講生に接点がない</t>
        </is>
      </c>
      <c r="D21" s="21" t="inlineStr">
        <is>
          <t>フェーズを跨いで交わる場がない</t>
        </is>
      </c>
      <c r="E21" s="21" t="inlineStr">
        <is>
          <t>先輩受講生の登壇枠と同期グループの設置</t>
        </is>
      </c>
      <c r="F21" s="21" t="inlineStr">
        <is>
          <t>月1回、STEP4以降の受講生がSTEP1-2向けに登壇し、当時の自分が何をしていたかを共有する。あわせて入会月ごとの同期グループをつくり、週次で相互報告させる。</t>
        </is>
      </c>
      <c r="G21" s="20" t="inlineStr">
        <is>
          <t>中期</t>
        </is>
      </c>
      <c r="H21" s="21" t="inlineStr">
        <is>
          <t>CSリーダー</t>
        </is>
      </c>
      <c r="I21" s="21" t="inlineStr">
        <is>
          <t>登壇スケジュール・同期グループ運用ルール</t>
        </is>
      </c>
      <c r="J21" s="21" t="inlineStr">
        <is>
          <t>①登壇候補の選定と依頼 ②登壇の型を作成 ③月次で開催 ④同期グループを編成し相互報告を運用</t>
        </is>
      </c>
      <c r="K21" s="41">
        <f>IF(OR($B$3="",$N21=""),"",$B$3+$N21)</f>
        <v/>
      </c>
      <c r="L21" s="21" t="inlineStr">
        <is>
          <t>月1回の登壇が実施され、同期グループでの相互報告が稼働している</t>
        </is>
      </c>
      <c r="M21" s="25" t="inlineStr">
        <is>
          <t>未着手</t>
        </is>
      </c>
      <c r="N21" s="25" t="n">
        <v>75</v>
      </c>
    </row>
    <row r="22" ht="74" customHeight="1">
      <c r="A22" s="16" t="n">
        <v>17</v>
      </c>
      <c r="B22" s="17" t="inlineStr">
        <is>
          <t>GC-23</t>
        </is>
      </c>
      <c r="C22" s="18" t="inlineStr">
        <is>
          <t>アーカイブが整理されず、欠席者フォローが機能していない</t>
        </is>
      </c>
      <c r="D22" s="18" t="inlineStr">
        <is>
          <t>テーマのタグ付け・要約の運用がない</t>
        </is>
      </c>
      <c r="E22" s="18" t="inlineStr">
        <is>
          <t>アーカイブのテーマ別整理と欠席者への自動フォロー</t>
        </is>
      </c>
      <c r="F22" s="18" t="inlineStr">
        <is>
          <t>録画にテーマタグと要約を付与し、検索できる形で整理。欠席者には該当回のリンクと要約を送付し、視聴の有無を確認する。</t>
        </is>
      </c>
      <c r="G22" s="17" t="inlineStr">
        <is>
          <t>中期</t>
        </is>
      </c>
      <c r="H22" s="18" t="inlineStr">
        <is>
          <t>運営</t>
        </is>
      </c>
      <c r="I22" s="18" t="inlineStr">
        <is>
          <t>アーカイブ一覧・欠席者フォローの運用</t>
        </is>
      </c>
      <c r="J22" s="18" t="inlineStr">
        <is>
          <t>①タグ設計 ②過去分の整理 ③要約作成の運用化 ④欠席者への送付をルール化</t>
        </is>
      </c>
      <c r="K22" s="40">
        <f>IF(OR($B$3="",$N22=""),"",$B$3+$N22)</f>
        <v/>
      </c>
      <c r="L22" s="18" t="inlineStr">
        <is>
          <t>全回にタグ・要約が付与され、欠席者へのフォロー送付率が100%</t>
        </is>
      </c>
      <c r="M22" s="25" t="inlineStr">
        <is>
          <t>未着手</t>
        </is>
      </c>
      <c r="N22" s="25" t="n">
        <v>75</v>
      </c>
    </row>
    <row r="23" ht="74" customHeight="1">
      <c r="A23" s="19" t="n">
        <v>18</v>
      </c>
      <c r="B23" s="20" t="inlineStr">
        <is>
          <t>GC-20</t>
        </is>
      </c>
      <c r="C23" s="21" t="inlineStr">
        <is>
          <t>メンターごとに成果率の差があるが要因が分析されていない</t>
        </is>
      </c>
      <c r="D23" s="21" t="inlineStr">
        <is>
          <t>成果率をメンター単位で集計する仕組みがない</t>
        </is>
      </c>
      <c r="E23" s="21" t="inlineStr">
        <is>
          <t>メンター別の成果率レビューと、上位メンターの型の横展開</t>
        </is>
      </c>
      <c r="F23" s="21" t="inlineStr">
        <is>
          <t>四半期ごとにメンター別の成果者率・初受注までの日数を集計。上位メンターの関わり方（接触頻度・声かけの内容・介入タイミング）を聞き取り、標準マニュアルに反映する。</t>
        </is>
      </c>
      <c r="G23" s="20" t="inlineStr">
        <is>
          <t>中期</t>
        </is>
      </c>
      <c r="H23" s="21" t="inlineStr">
        <is>
          <t>CSリーダー／マネージャー</t>
        </is>
      </c>
      <c r="I23" s="21" t="inlineStr">
        <is>
          <t>メンター別成果レビュー資料・改訂版マニュアル</t>
        </is>
      </c>
      <c r="J23" s="21" t="inlineStr">
        <is>
          <t>①集計軸を定義 ②四半期データを集計 ③上位メンターへヒアリング ④型を抽出 ⑤マニュアルへ反映</t>
        </is>
      </c>
      <c r="K23" s="41">
        <f>IF(OR($B$3="",$N23=""),"",$B$3+$N23)</f>
        <v/>
      </c>
      <c r="L23" s="21" t="inlineStr">
        <is>
          <t>四半期レビューが実施され、抽出した型が標準マニュアルに反映されている</t>
        </is>
      </c>
      <c r="M23" s="25" t="inlineStr">
        <is>
          <t>未着手</t>
        </is>
      </c>
      <c r="N23" s="25" t="n">
        <v>105</v>
      </c>
    </row>
    <row r="24" ht="74" customHeight="1">
      <c r="A24" s="16" t="n">
        <v>19</v>
      </c>
      <c r="B24" s="17" t="inlineStr">
        <is>
          <t>GC-21</t>
        </is>
      </c>
      <c r="C24" s="18" t="inlineStr">
        <is>
          <t>メンターの営業実務経験に差があり、指導の説得力が揃わない</t>
        </is>
      </c>
      <c r="D24" s="18" t="inlineStr">
        <is>
          <t>メンターの要件定義・育成プログラムがない</t>
        </is>
      </c>
      <c r="E24" s="18" t="inlineStr">
        <is>
          <t>メンターの営業スキル基準の定義と育成プログラムの整備</t>
        </is>
      </c>
      <c r="F24" s="18" t="inlineStr">
        <is>
          <t>メンターに求める営業スキル・実績の基準を定義し、現メンターの充足状況を確認。不足分は研修とロールプレイで補い、基準を満たすまで営業フェーズの単独指導は行わない。</t>
        </is>
      </c>
      <c r="G24" s="17" t="inlineStr">
        <is>
          <t>長期</t>
        </is>
      </c>
      <c r="H24" s="18" t="inlineStr">
        <is>
          <t>マネージャー</t>
        </is>
      </c>
      <c r="I24" s="18" t="inlineStr">
        <is>
          <t>メンター要件定義書・育成プログラム</t>
        </is>
      </c>
      <c r="J24" s="18" t="inlineStr">
        <is>
          <t>①要件を定義 ②現状のスキルマップを作成 ③ギャップに応じた研修を設計 ④実施 ⑤定期チェック</t>
        </is>
      </c>
      <c r="K24" s="40">
        <f>IF(OR($B$3="",$N24=""),"",$B$3+$N24)</f>
        <v/>
      </c>
      <c r="L24" s="18" t="inlineStr">
        <is>
          <t>メンター要件が定義され、全メンターがスキルチェックを受けている</t>
        </is>
      </c>
      <c r="M24" s="25" t="inlineStr">
        <is>
          <t>未着手</t>
        </is>
      </c>
      <c r="N24" s="25" t="n">
        <v>150</v>
      </c>
    </row>
    <row r="25" ht="74" customHeight="1">
      <c r="A25" s="19" t="n">
        <v>20</v>
      </c>
      <c r="B25" s="20" t="inlineStr">
        <is>
          <t>GC-06</t>
        </is>
      </c>
      <c r="C25" s="21" t="inlineStr">
        <is>
          <t>デザイン・営業コースにマインドのカリキュラムがない</t>
        </is>
      </c>
      <c r="D25" s="21" t="inlineStr">
        <is>
          <t>コース設計時の差異が統合されていない</t>
        </is>
      </c>
      <c r="E25" s="21" t="inlineStr">
        <is>
          <t>全コース共通のマインドパートを追加し、営業フェーズ突入前に必修化</t>
        </is>
      </c>
      <c r="F25" s="21" t="inlineStr">
        <is>
          <t>SNSマーケコースの「マインドについて」をベースに全コース共通版を作成。STEP2開始前に必修化し、グルコンでも該当テーマを扱う回を設ける。</t>
        </is>
      </c>
      <c r="G25" s="20" t="inlineStr">
        <is>
          <t>中期</t>
        </is>
      </c>
      <c r="H25" s="21" t="inlineStr">
        <is>
          <t>カリキュラム担当</t>
        </is>
      </c>
      <c r="I25" s="21" t="inlineStr">
        <is>
          <t>共通マインドカリキュラム・受講管理</t>
        </is>
      </c>
      <c r="J25" s="21" t="inlineStr">
        <is>
          <t>①既存教材を確認 ②共通版を作成 ③STEP2開始前の必修に組み込み ④受講状況を管理</t>
        </is>
      </c>
      <c r="K25" s="41">
        <f>IF(OR($B$3="",$N25=""),"",$B$3+$N25)</f>
        <v/>
      </c>
      <c r="L25" s="21" t="inlineStr">
        <is>
          <t>STEP2開始前に全受講生がマインドパートを受講している状態</t>
        </is>
      </c>
      <c r="M25" s="25" t="inlineStr">
        <is>
          <t>未着手</t>
        </is>
      </c>
      <c r="N25" s="25" t="n">
        <v>90</v>
      </c>
    </row>
    <row r="26" ht="74" customHeight="1">
      <c r="A26" s="16" t="n">
        <v>21</v>
      </c>
      <c r="B26" s="17" t="inlineStr">
        <is>
          <t>GC-25</t>
        </is>
      </c>
      <c r="C26" s="18" t="inlineStr">
        <is>
          <t>開催頻度に対して準備工数が確保されていない</t>
        </is>
      </c>
      <c r="D26" s="18" t="inlineStr">
        <is>
          <t>開催回数ありきで設計されている</t>
        </is>
      </c>
      <c r="E26" s="18" t="inlineStr">
        <is>
          <t>開催頻度と準備工数の再設計（講師主導回とメンター伴走の作業会に分離）</t>
        </is>
      </c>
      <c r="F26" s="18" t="inlineStr">
        <is>
          <t>週3〜4回の内訳を「講師主導の講義・添削回」と「メンター伴走の作業会」に分け、準備負荷を分散させる。作業会は準備を最小化し、参加者が手を動かす時間に充てる。</t>
        </is>
      </c>
      <c r="G26" s="17" t="inlineStr">
        <is>
          <t>中期</t>
        </is>
      </c>
      <c r="H26" s="18" t="inlineStr">
        <is>
          <t>グルコン統括／マネージャー</t>
        </is>
      </c>
      <c r="I26" s="18" t="inlineStr">
        <is>
          <t>開催区分の設計書・工数試算</t>
        </is>
      </c>
      <c r="J26" s="18" t="inlineStr">
        <is>
          <t>①現行の準備工数を実測 ②区分を設計 ③試行 ④参加者満足度と工数を比較 ⑤本運用</t>
        </is>
      </c>
      <c r="K26" s="40">
        <f>IF(OR($B$3="",$N26=""),"",$B$3+$N26)</f>
        <v/>
      </c>
      <c r="L26" s="18" t="inlineStr">
        <is>
          <t>講師1人あたりの週次準備工数が目標時間内に収まり、参加者満足度が維持されている</t>
        </is>
      </c>
      <c r="M26" s="25" t="inlineStr">
        <is>
          <t>未着手</t>
        </is>
      </c>
      <c r="N26" s="25" t="n">
        <v>90</v>
      </c>
    </row>
  </sheetData>
  <autoFilter ref="A5:N26"/>
  <mergeCells count="4">
    <mergeCell ref="B3:C3"/>
    <mergeCell ref="A2:N2"/>
    <mergeCell ref="D3:N3"/>
    <mergeCell ref="A1:N1"/>
  </mergeCells>
  <dataValidations count="2">
    <dataValidation sqref="M6:M26" showDropDown="0" showInputMessage="0" showErrorMessage="0" allowBlank="1" type="list">
      <formula1>"未着手,進行中,完了,保留"</formula1>
    </dataValidation>
    <dataValidation sqref="G6:G26" showDropDown="0" showInputMessage="0" showErrorMessage="0" allowBlank="1" type="list">
      <formula1>"短期,中期,長期"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30" customWidth="1" min="4" max="4"/>
    <col width="18" customWidth="1" min="5" max="5"/>
    <col width="12" customWidth="1" min="6" max="6"/>
    <col width="14" customWidth="1" min="7" max="7"/>
  </cols>
  <sheetData>
    <row r="1" ht="30" customHeight="1">
      <c r="A1" s="1" t="inlineStr">
        <is>
          <t>KPI定義</t>
        </is>
      </c>
      <c r="B1" s="34" t="n"/>
      <c r="C1" s="34" t="n"/>
      <c r="D1" s="34" t="n"/>
      <c r="E1" s="34" t="n"/>
      <c r="F1" s="34" t="n"/>
      <c r="G1" s="35" t="n"/>
    </row>
    <row r="2" ht="20" customHeight="1">
      <c r="A2" s="14" t="inlineStr">
        <is>
          <t>※ 目標値は仮置き。3ヶ月計測して実績の中央値が出てから確定させる。現時点で計測できていない指標は、それ自体が課題（GC-29〜31）として立つ。</t>
        </is>
      </c>
      <c r="B2" s="34" t="n"/>
      <c r="C2" s="34" t="n"/>
      <c r="D2" s="34" t="n"/>
      <c r="E2" s="34" t="n"/>
      <c r="F2" s="34" t="n"/>
      <c r="G2" s="35" t="n"/>
    </row>
    <row r="4" ht="34" customHeight="1">
      <c r="A4" s="15" t="inlineStr">
        <is>
          <t>区分</t>
        </is>
      </c>
      <c r="B4" s="15" t="inlineStr">
        <is>
          <t>指標</t>
        </is>
      </c>
      <c r="C4" s="15" t="inlineStr">
        <is>
          <t>定義</t>
        </is>
      </c>
      <c r="D4" s="15" t="inlineStr">
        <is>
          <t>計測方法・データ元</t>
        </is>
      </c>
      <c r="E4" s="15" t="inlineStr">
        <is>
          <t>目標値（仮）</t>
        </is>
      </c>
      <c r="F4" s="15" t="inlineStr">
        <is>
          <t>確認頻度</t>
        </is>
      </c>
      <c r="G4" s="15" t="inlineStr">
        <is>
          <t>対象STEP</t>
        </is>
      </c>
    </row>
    <row r="5" ht="30" customHeight="1">
      <c r="A5" s="29" t="inlineStr">
        <is>
          <t>成果（最終）</t>
        </is>
      </c>
      <c r="B5" s="30" t="inlineStr">
        <is>
          <t>6ヶ月累計成果額</t>
        </is>
      </c>
      <c r="C5" s="31" t="inlineStr">
        <is>
          <t>入会から6ヶ月間に受講生が受注・入金した金額の合計</t>
        </is>
      </c>
      <c r="D5" s="31" t="inlineStr">
        <is>
          <t>成果報告記録</t>
        </is>
      </c>
      <c r="E5" s="29" t="inlineStr">
        <is>
          <t>―</t>
        </is>
      </c>
      <c r="F5" s="29" t="inlineStr">
        <is>
          <t>月次</t>
        </is>
      </c>
      <c r="G5" s="29" t="inlineStr">
        <is>
          <t>全STEP</t>
        </is>
      </c>
    </row>
    <row r="6" ht="30" customHeight="1">
      <c r="A6" s="20" t="inlineStr">
        <is>
          <t>成果（最終）</t>
        </is>
      </c>
      <c r="B6" s="32" t="inlineStr">
        <is>
          <t>3ヶ月以内 初受注率</t>
        </is>
      </c>
      <c r="C6" s="21" t="inlineStr">
        <is>
          <t>入会3ヶ月時点で1件以上受注している受講生の割合（入会月コホート）</t>
        </is>
      </c>
      <c r="D6" s="21" t="inlineStr">
        <is>
          <t>成果報告記録</t>
        </is>
      </c>
      <c r="E6" s="20" t="inlineStr">
        <is>
          <t>50%以上</t>
        </is>
      </c>
      <c r="F6" s="20" t="inlineStr">
        <is>
          <t>月次</t>
        </is>
      </c>
      <c r="G6" s="20" t="inlineStr">
        <is>
          <t>STEP1〜3</t>
        </is>
      </c>
    </row>
    <row r="7" ht="30" customHeight="1">
      <c r="A7" s="17" t="inlineStr">
        <is>
          <t>成果（最終）</t>
        </is>
      </c>
      <c r="B7" s="33" t="inlineStr">
        <is>
          <t>6ヶ月時点 目標達成率</t>
        </is>
      </c>
      <c r="C7" s="18" t="inlineStr">
        <is>
          <t>本人が入会時に設定した目標金額に到達した受講生の割合</t>
        </is>
      </c>
      <c r="D7" s="18" t="inlineStr">
        <is>
          <t>目標設定シート／成果記録</t>
        </is>
      </c>
      <c r="E7" s="17" t="inlineStr">
        <is>
          <t>―</t>
        </is>
      </c>
      <c r="F7" s="17" t="inlineStr">
        <is>
          <t>月次</t>
        </is>
      </c>
      <c r="G7" s="17" t="inlineStr">
        <is>
          <t>全STEP</t>
        </is>
      </c>
    </row>
    <row r="8" ht="30" customHeight="1">
      <c r="A8" s="29" t="inlineStr">
        <is>
          <t>成果（速さ）</t>
        </is>
      </c>
      <c r="B8" s="30" t="inlineStr">
        <is>
          <t>初提案までの日数</t>
        </is>
      </c>
      <c r="C8" s="31" t="inlineStr">
        <is>
          <t>入会日から、初めて案件に応募した日までの日数</t>
        </is>
      </c>
      <c r="D8" s="31" t="inlineStr">
        <is>
          <t>日報／営業活動記録</t>
        </is>
      </c>
      <c r="E8" s="29" t="inlineStr">
        <is>
          <t>45日以内</t>
        </is>
      </c>
      <c r="F8" s="29" t="inlineStr">
        <is>
          <t>週次</t>
        </is>
      </c>
      <c r="G8" s="29" t="inlineStr">
        <is>
          <t>STEP1〜2</t>
        </is>
      </c>
    </row>
    <row r="9" ht="30" customHeight="1">
      <c r="A9" s="17" t="inlineStr">
        <is>
          <t>成果（速さ）</t>
        </is>
      </c>
      <c r="B9" s="33" t="inlineStr">
        <is>
          <t>初受注までの日数</t>
        </is>
      </c>
      <c r="C9" s="18" t="inlineStr">
        <is>
          <t>入会日から、初めて受注が確定した日までの日数</t>
        </is>
      </c>
      <c r="D9" s="18" t="inlineStr">
        <is>
          <t>成果報告記録</t>
        </is>
      </c>
      <c r="E9" s="17" t="inlineStr">
        <is>
          <t>90日以内</t>
        </is>
      </c>
      <c r="F9" s="17" t="inlineStr">
        <is>
          <t>週次</t>
        </is>
      </c>
      <c r="G9" s="17" t="inlineStr">
        <is>
          <t>STEP2〜3</t>
        </is>
      </c>
    </row>
    <row r="10" ht="30" customHeight="1">
      <c r="A10" s="20" t="inlineStr">
        <is>
          <t>先行（行動）</t>
        </is>
      </c>
      <c r="B10" s="32" t="inlineStr">
        <is>
          <t>週あたり提案数</t>
        </is>
      </c>
      <c r="C10" s="21" t="inlineStr">
        <is>
          <t>1人あたりの週間の案件応募件数</t>
        </is>
      </c>
      <c r="D10" s="21" t="inlineStr">
        <is>
          <t>営業活動記録</t>
        </is>
      </c>
      <c r="E10" s="20" t="inlineStr">
        <is>
          <t>10件／週以上</t>
        </is>
      </c>
      <c r="F10" s="20" t="inlineStr">
        <is>
          <t>週次</t>
        </is>
      </c>
      <c r="G10" s="20" t="inlineStr">
        <is>
          <t>STEP3〜5</t>
        </is>
      </c>
    </row>
    <row r="11" ht="30" customHeight="1">
      <c r="A11" s="17" t="inlineStr">
        <is>
          <t>先行（行動）</t>
        </is>
      </c>
      <c r="B11" s="33" t="inlineStr">
        <is>
          <t>提案返信率</t>
        </is>
      </c>
      <c r="C11" s="18" t="inlineStr">
        <is>
          <t>送った提案のうち返信があった割合</t>
        </is>
      </c>
      <c r="D11" s="18" t="inlineStr">
        <is>
          <t>営業活動記録</t>
        </is>
      </c>
      <c r="E11" s="17" t="inlineStr">
        <is>
          <t>―</t>
        </is>
      </c>
      <c r="F11" s="17" t="inlineStr">
        <is>
          <t>週次</t>
        </is>
      </c>
      <c r="G11" s="17" t="inlineStr">
        <is>
          <t>STEP3〜5</t>
        </is>
      </c>
    </row>
    <row r="12" ht="30" customHeight="1">
      <c r="A12" s="20" t="inlineStr">
        <is>
          <t>先行（行動）</t>
        </is>
      </c>
      <c r="B12" s="32" t="inlineStr">
        <is>
          <t>課題提出率</t>
        </is>
      </c>
      <c r="C12" s="21" t="inlineStr">
        <is>
          <t>期限内に提出された課題の割合</t>
        </is>
      </c>
      <c r="D12" s="21" t="inlineStr">
        <is>
          <t>カリキュラム管理</t>
        </is>
      </c>
      <c r="E12" s="20" t="inlineStr">
        <is>
          <t>90%以上</t>
        </is>
      </c>
      <c r="F12" s="20" t="inlineStr">
        <is>
          <t>週次</t>
        </is>
      </c>
      <c r="G12" s="20" t="inlineStr">
        <is>
          <t>STEP1</t>
        </is>
      </c>
    </row>
    <row r="13" ht="30" customHeight="1">
      <c r="A13" s="17" t="inlineStr">
        <is>
          <t>先行（行動）</t>
        </is>
      </c>
      <c r="B13" s="33" t="inlineStr">
        <is>
          <t>日報提出率</t>
        </is>
      </c>
      <c r="C13" s="18" t="inlineStr">
        <is>
          <t>日報を提出した日数の割合</t>
        </is>
      </c>
      <c r="D13" s="18" t="inlineStr">
        <is>
          <t>日報</t>
        </is>
      </c>
      <c r="E13" s="17" t="inlineStr">
        <is>
          <t>90%以上</t>
        </is>
      </c>
      <c r="F13" s="17" t="inlineStr">
        <is>
          <t>週次</t>
        </is>
      </c>
      <c r="G13" s="17" t="inlineStr">
        <is>
          <t>全STEP</t>
        </is>
      </c>
    </row>
    <row r="14" ht="30" customHeight="1">
      <c r="A14" s="20" t="inlineStr">
        <is>
          <t>先行（参加）</t>
        </is>
      </c>
      <c r="B14" s="32" t="inlineStr">
        <is>
          <t>グルコン参加率</t>
        </is>
      </c>
      <c r="C14" s="21" t="inlineStr">
        <is>
          <t>開催回数に対して参加した回数の割合</t>
        </is>
      </c>
      <c r="D14" s="21" t="inlineStr">
        <is>
          <t>出席記録</t>
        </is>
      </c>
      <c r="E14" s="20" t="inlineStr">
        <is>
          <t>70%以上</t>
        </is>
      </c>
      <c r="F14" s="20" t="inlineStr">
        <is>
          <t>週次</t>
        </is>
      </c>
      <c r="G14" s="20" t="inlineStr">
        <is>
          <t>全STEP</t>
        </is>
      </c>
    </row>
    <row r="15" ht="30" customHeight="1">
      <c r="A15" s="17" t="inlineStr">
        <is>
          <t>先行（参加）</t>
        </is>
      </c>
      <c r="B15" s="33" t="inlineStr">
        <is>
          <t>発言率</t>
        </is>
      </c>
      <c r="C15" s="18" t="inlineStr">
        <is>
          <t>参加者のうち、発言または質問をした人の割合</t>
        </is>
      </c>
      <c r="D15" s="18" t="inlineStr">
        <is>
          <t>進行記録</t>
        </is>
      </c>
      <c r="E15" s="17" t="inlineStr">
        <is>
          <t>60%以上</t>
        </is>
      </c>
      <c r="F15" s="17" t="inlineStr">
        <is>
          <t>週次</t>
        </is>
      </c>
      <c r="G15" s="17" t="inlineStr">
        <is>
          <t>全STEP</t>
        </is>
      </c>
    </row>
    <row r="16" ht="30" customHeight="1">
      <c r="A16" s="20" t="inlineStr">
        <is>
          <t>先行（参加）</t>
        </is>
      </c>
      <c r="B16" s="32" t="inlineStr">
        <is>
          <t>アクション実行率</t>
        </is>
      </c>
      <c r="C16" s="21" t="inlineStr">
        <is>
          <t>グルコンで宣言したアクションを期限内に実行した割合</t>
        </is>
      </c>
      <c r="D16" s="21" t="inlineStr">
        <is>
          <t>アクション宣言記録</t>
        </is>
      </c>
      <c r="E16" s="20" t="inlineStr">
        <is>
          <t>80%以上</t>
        </is>
      </c>
      <c r="F16" s="20" t="inlineStr">
        <is>
          <t>週次</t>
        </is>
      </c>
      <c r="G16" s="20" t="inlineStr">
        <is>
          <t>全STEP</t>
        </is>
      </c>
    </row>
    <row r="17" ht="30" customHeight="1">
      <c r="A17" s="17" t="inlineStr">
        <is>
          <t>先行（介入）</t>
        </is>
      </c>
      <c r="B17" s="33" t="inlineStr">
        <is>
          <t>停滞アラート発報数</t>
        </is>
      </c>
      <c r="C17" s="18" t="inlineStr">
        <is>
          <t>停滞条件に該当した受講生の数</t>
        </is>
      </c>
      <c r="D17" s="18" t="inlineStr">
        <is>
          <t>アラート記録</t>
        </is>
      </c>
      <c r="E17" s="17" t="inlineStr">
        <is>
          <t>―</t>
        </is>
      </c>
      <c r="F17" s="17" t="inlineStr">
        <is>
          <t>週次</t>
        </is>
      </c>
      <c r="G17" s="17" t="inlineStr">
        <is>
          <t>全STEP</t>
        </is>
      </c>
    </row>
    <row r="18" ht="30" customHeight="1">
      <c r="A18" s="20" t="inlineStr">
        <is>
          <t>先行（介入）</t>
        </is>
      </c>
      <c r="B18" s="32" t="inlineStr">
        <is>
          <t>アラートから接触までの時間</t>
        </is>
      </c>
      <c r="C18" s="21" t="inlineStr">
        <is>
          <t>アラート発報から担当メンターが接触するまでの平均時間</t>
        </is>
      </c>
      <c r="D18" s="21" t="inlineStr">
        <is>
          <t>アラート記録</t>
        </is>
      </c>
      <c r="E18" s="20" t="inlineStr">
        <is>
          <t>24時間以内</t>
        </is>
      </c>
      <c r="F18" s="20" t="inlineStr">
        <is>
          <t>週次</t>
        </is>
      </c>
      <c r="G18" s="20" t="inlineStr">
        <is>
          <t>全STEP</t>
        </is>
      </c>
    </row>
    <row r="19" ht="30" customHeight="1">
      <c r="A19" s="17" t="inlineStr">
        <is>
          <t>維持</t>
        </is>
      </c>
      <c r="B19" s="33" t="inlineStr">
        <is>
          <t>離脱率／継続率</t>
        </is>
      </c>
      <c r="C19" s="18" t="inlineStr">
        <is>
          <t>期間内に受講を中断した受講生の割合</t>
        </is>
      </c>
      <c r="D19" s="18" t="inlineStr">
        <is>
          <t>在籍管理</t>
        </is>
      </c>
      <c r="E19" s="17" t="inlineStr">
        <is>
          <t>―</t>
        </is>
      </c>
      <c r="F19" s="17" t="inlineStr">
        <is>
          <t>月次</t>
        </is>
      </c>
      <c r="G19" s="17" t="inlineStr">
        <is>
          <t>全STEP</t>
        </is>
      </c>
    </row>
    <row r="20" ht="30" customHeight="1">
      <c r="A20" s="20" t="inlineStr">
        <is>
          <t>組織</t>
        </is>
      </c>
      <c r="B20" s="32" t="inlineStr">
        <is>
          <t>メンター別 成果者率</t>
        </is>
      </c>
      <c r="C20" s="21" t="inlineStr">
        <is>
          <t>メンターごとの担当受講生の3ヶ月以内 初受注率</t>
        </is>
      </c>
      <c r="D20" s="21" t="inlineStr">
        <is>
          <t>成果記録×担当割当</t>
        </is>
      </c>
      <c r="E20" s="20" t="inlineStr">
        <is>
          <t>―</t>
        </is>
      </c>
      <c r="F20" s="20" t="inlineStr">
        <is>
          <t>四半期</t>
        </is>
      </c>
      <c r="G20" s="20" t="inlineStr">
        <is>
          <t>―</t>
        </is>
      </c>
    </row>
    <row r="21" ht="30" customHeight="1">
      <c r="A21" s="17" t="inlineStr">
        <is>
          <t>組織</t>
        </is>
      </c>
      <c r="B21" s="33" t="inlineStr">
        <is>
          <t>講師1人あたり準備工数</t>
        </is>
      </c>
      <c r="C21" s="18" t="inlineStr">
        <is>
          <t>グルコン1回あたりの平均準備時間</t>
        </is>
      </c>
      <c r="D21" s="18" t="inlineStr">
        <is>
          <t>工数記録</t>
        </is>
      </c>
      <c r="E21" s="17" t="inlineStr">
        <is>
          <t>―</t>
        </is>
      </c>
      <c r="F21" s="17" t="inlineStr">
        <is>
          <t>月次</t>
        </is>
      </c>
      <c r="G21" s="17" t="inlineStr">
        <is>
          <t>―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2026-08-21T07:52:38Z</dcterms:created>
  <dcterms:modified xsi:type="dcterms:W3CDTF">2026-08-21T08:04:22Z</dcterms:modified>
</cp:coreProperties>
</file>